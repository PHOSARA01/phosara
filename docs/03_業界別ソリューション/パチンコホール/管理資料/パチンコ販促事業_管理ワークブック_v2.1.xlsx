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Pricing_Master" sheetId="2" state="visible" r:id="rId4"/>
    <sheet name="Theme_Master" sheetId="3" state="visible" r:id="rId5"/>
    <sheet name="Event_Master" sheetId="4" state="visible" r:id="rId6"/>
    <sheet name="料金マスタ" sheetId="5" state="visible" r:id="rId7"/>
    <sheet name="顧客マスタ" sheetId="6" state="visible" r:id="rId8"/>
    <sheet name="自動見積" sheetId="7" state="visible" r:id="rId9"/>
    <sheet name="契約書" sheetId="8" state="visible" r:id="rId10"/>
    <sheet name="案件別収益" sheetId="9" state="visible" r:id="rId11"/>
    <sheet name="外注管理" sheetId="10" state="visible" r:id="rId12"/>
    <sheet name="請求管理" sheetId="11" state="visible" r:id="rId13"/>
    <sheet name="入金管理" sheetId="12" state="visible" r:id="rId14"/>
    <sheet name="顧客別収益" sheetId="13" state="visible" r:id="rId15"/>
    <sheet name="テーマ別工数分析" sheetId="14" state="visible" r:id="rId16"/>
    <sheet name="利益分析" sheetId="15" state="visible" r:id="rId17"/>
    <sheet name="月次損益" sheetId="16" state="visible" r:id="rId18"/>
    <sheet name="年間予測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<sst xmlns="http://schemas.openxmlformats.org/spreadsheetml/2006/main" count="791" uniqueCount="439">
  <si>
    <r>
      <rPr>
        <b val="true"/>
        <sz val="16"/>
        <color rgb="FF1F3864"/>
        <rFont val="Noto Sans CJK SC"/>
        <family val="2"/>
      </rPr>
      <t xml:space="preserve">パチンコ販促事業 管理ワークブック </t>
    </r>
    <r>
      <rPr>
        <b val="true"/>
        <sz val="16"/>
        <color rgb="FF1F3864"/>
        <rFont val="Arial"/>
        <family val="0"/>
        <charset val="1"/>
      </rPr>
      <t xml:space="preserve">Ver.2.1</t>
    </r>
  </si>
  <si>
    <r>
      <rPr>
        <sz val="11"/>
        <color rgb="FF2E5496"/>
        <rFont val="Arial"/>
        <family val="0"/>
        <charset val="1"/>
      </rPr>
      <t xml:space="preserve">Lead → Estimate → Contract → Production → Invoice → Payment → Profit </t>
    </r>
    <r>
      <rPr>
        <sz val="11"/>
        <color rgb="FF2E5496"/>
        <rFont val="Noto Sans CJK SC"/>
        <family val="2"/>
      </rPr>
      <t xml:space="preserve">を</t>
    </r>
    <r>
      <rPr>
        <sz val="11"/>
        <color rgb="FF2E5496"/>
        <rFont val="Arial"/>
        <family val="0"/>
        <charset val="1"/>
      </rPr>
      <t xml:space="preserve">1</t>
    </r>
    <r>
      <rPr>
        <sz val="11"/>
        <color rgb="FF2E5496"/>
        <rFont val="Noto Sans CJK SC"/>
        <family val="2"/>
      </rPr>
      <t xml:space="preserve">ファイルで管理</t>
    </r>
  </si>
  <si>
    <t xml:space="preserve">ワークフローと対応シート</t>
  </si>
  <si>
    <t xml:space="preserve">① 見込み・見積</t>
  </si>
  <si>
    <t xml:space="preserve">自動見積：顧客ID選択→品目をドロップダウン→単価VLOOKUP→税込合計を自動算出</t>
  </si>
  <si>
    <t xml:space="preserve">② 契約</t>
  </si>
  <si>
    <t xml:space="preserve">契約書：見積番号・顧客IDを引き継ぎ、月額・スコープ・ソース/特急/修正条項を自動生成</t>
  </si>
  <si>
    <t xml:space="preserve">③ 制作（中核）</t>
  </si>
  <si>
    <t xml:space="preserve">案件別収益：案件を登録。店舗名・月・外注費・粗利・実質時給を自動計算</t>
  </si>
  <si>
    <t xml:space="preserve">④ 外注</t>
  </si>
  <si>
    <t xml:space="preserve">外注管理：案件IDで紐付け。外注費は案件別収益へ自動集計</t>
  </si>
  <si>
    <t xml:space="preserve">⑤ 請求</t>
  </si>
  <si>
    <t xml:space="preserve">請求管理：案件IDから顧客・店舗を取得、消費税・税込合計を自動算出</t>
  </si>
  <si>
    <t xml:space="preserve">⑥ 入金</t>
  </si>
  <si>
    <t xml:space="preserve">入金管理：請求番号で請求額・期限を参照。延滞/入金済を自動判定・色分け</t>
  </si>
  <si>
    <t xml:space="preserve">⑦ 分析</t>
  </si>
  <si>
    <t xml:space="preserve">顧客別収益・テーマ別工数分析・月次損益・年間予測が上記データから自動集計</t>
  </si>
  <si>
    <t xml:space="preserve">マスタ</t>
  </si>
  <si>
    <t xml:space="preserve">料金マスタ（単価・税率・全ドロップダウン）／顧客マスタ（顧客ID＝全結合キー）</t>
  </si>
  <si>
    <t xml:space="preserve">色の凡例</t>
  </si>
  <si>
    <t xml:space="preserve">青字=手入力 / 黒字=計算式 / 緑字=他シート参照 / 黄背景=要入力の前提</t>
  </si>
  <si>
    <t xml:space="preserve">結合キー</t>
  </si>
  <si>
    <t xml:space="preserve">顧客ID（C0xx）と案件ID（J0xx）と請求番号（INV-）で全シートが連結</t>
  </si>
  <si>
    <r>
      <rPr>
        <b val="true"/>
        <sz val="11"/>
        <color rgb="FF1F3864"/>
        <rFont val="Arial"/>
        <family val="0"/>
        <charset val="1"/>
      </rPr>
      <t xml:space="preserve">Ver.2.1 </t>
    </r>
    <r>
      <rPr>
        <b val="true"/>
        <sz val="11"/>
        <color rgb="FF1F3864"/>
        <rFont val="Noto Sans CJK SC"/>
        <family val="2"/>
      </rPr>
      <t xml:space="preserve">追加マスタ</t>
    </r>
  </si>
  <si>
    <r>
      <rPr>
        <sz val="11"/>
        <color rgb="FF000000"/>
        <rFont val="Arial"/>
        <family val="0"/>
        <charset val="1"/>
      </rPr>
      <t xml:space="preserve">Theme_Master / Event_Master / Pricing_Master </t>
    </r>
    <r>
      <rPr>
        <sz val="11"/>
        <color rgb="FF000000"/>
        <rFont val="Noto Sans CJK SC"/>
        <family val="2"/>
      </rPr>
      <t xml:space="preserve">の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マスタを正本として全シートに連結</t>
    </r>
  </si>
  <si>
    <t xml:space="preserve">Pricing_Master</t>
  </si>
  <si>
    <r>
      <rPr>
        <sz val="11"/>
        <color rgb="FF000000"/>
        <rFont val="Noto Sans CJK SC"/>
        <family val="2"/>
      </rPr>
      <t xml:space="preserve">見積・契約・請求の単価は全て</t>
    </r>
    <r>
      <rPr>
        <sz val="11"/>
        <color rgb="FF000000"/>
        <rFont val="Arial"/>
        <family val="0"/>
        <charset val="1"/>
      </rPr>
      <t xml:space="preserve">Pricing_Master</t>
    </r>
    <r>
      <rPr>
        <sz val="11"/>
        <color rgb="FF000000"/>
        <rFont val="Noto Sans CJK SC"/>
        <family val="2"/>
      </rPr>
      <t xml:space="preserve">参照（ハードコード無し）</t>
    </r>
  </si>
  <si>
    <t xml:space="preserve">Theme_Master</t>
  </si>
  <si>
    <r>
      <rPr>
        <sz val="11"/>
        <color rgb="FF000000"/>
        <rFont val="Noto Sans CJK SC"/>
        <family val="2"/>
      </rPr>
      <t xml:space="preserve">案件別収益のテーマコード→テーマ名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カテゴリを自動補完。</t>
    </r>
    <r>
      <rPr>
        <sz val="11"/>
        <color rgb="FF000000"/>
        <rFont val="Arial"/>
        <family val="0"/>
        <charset val="1"/>
      </rPr>
      <t xml:space="preserve">Theme</t>
    </r>
    <r>
      <rPr>
        <sz val="11"/>
        <color rgb="FF000000"/>
        <rFont val="Noto Sans CJK SC"/>
        <family val="2"/>
      </rPr>
      <t xml:space="preserve">別工数・利益分析の結合キー</t>
    </r>
  </si>
  <si>
    <t xml:space="preserve">Event_Master</t>
  </si>
  <si>
    <r>
      <rPr>
        <sz val="11"/>
        <color rgb="FF000000"/>
        <rFont val="Noto Sans CJK SC"/>
        <family val="2"/>
      </rPr>
      <t xml:space="preserve">案件別収益のイベント名ドロップダウン。</t>
    </r>
    <r>
      <rPr>
        <sz val="11"/>
        <color rgb="FF000000"/>
        <rFont val="Arial"/>
        <family val="0"/>
        <charset val="1"/>
      </rPr>
      <t xml:space="preserve">Event</t>
    </r>
    <r>
      <rPr>
        <sz val="11"/>
        <color rgb="FF000000"/>
        <rFont val="Noto Sans CJK SC"/>
        <family val="2"/>
      </rPr>
      <t xml:space="preserve">別案件分析の結合キー</t>
    </r>
  </si>
  <si>
    <t xml:space="preserve">料金の正本。見積・契約・請求の単価はすべてここを参照（ハードコード無し）。</t>
  </si>
  <si>
    <t xml:space="preserve">区分</t>
  </si>
  <si>
    <t xml:space="preserve">サービス名</t>
  </si>
  <si>
    <t xml:space="preserve">単価</t>
  </si>
  <si>
    <t xml:space="preserve">目安工数</t>
  </si>
  <si>
    <t xml:space="preserve">月額</t>
  </si>
  <si>
    <t xml:space="preserve">ライトプラン</t>
  </si>
  <si>
    <t xml:space="preserve">スタンダードプラン</t>
  </si>
  <si>
    <t xml:space="preserve">プレミアムプラン</t>
  </si>
  <si>
    <t xml:space="preserve">初期</t>
  </si>
  <si>
    <t xml:space="preserve">オンボーディング費</t>
  </si>
  <si>
    <t xml:space="preserve">スポット</t>
  </si>
  <si>
    <t xml:space="preserve">新台入替販促パッケージ</t>
  </si>
  <si>
    <t xml:space="preserve">大型販促パッケージ</t>
  </si>
  <si>
    <t xml:space="preserve">グランドオープン販促</t>
  </si>
  <si>
    <t xml:space="preserve">追加料金</t>
  </si>
  <si>
    <t xml:space="preserve">追加媒体</t>
  </si>
  <si>
    <t xml:space="preserve">サイネージ追加サイズ</t>
  </si>
  <si>
    <r>
      <rPr>
        <sz val="11"/>
        <color rgb="FF000000"/>
        <rFont val="Noto Sans CJK SC"/>
        <family val="2"/>
      </rPr>
      <t xml:space="preserve">修正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回目以降</t>
    </r>
  </si>
  <si>
    <t xml:space="preserve">緊急修正</t>
  </si>
  <si>
    <t xml:space="preserve">当日特急対応</t>
  </si>
  <si>
    <t xml:space="preserve">翌日特急対応</t>
  </si>
  <si>
    <t xml:space="preserve">土日祝対応</t>
  </si>
  <si>
    <t xml:space="preserve">コピーライティング</t>
  </si>
  <si>
    <r>
      <rPr>
        <sz val="11"/>
        <color rgb="FF000000"/>
        <rFont val="Arial"/>
        <family val="0"/>
        <charset val="1"/>
      </rPr>
      <t xml:space="preserve">PSD</t>
    </r>
    <r>
      <rPr>
        <sz val="11"/>
        <color rgb="FF000000"/>
        <rFont val="Noto Sans CJK SC"/>
        <family val="2"/>
      </rPr>
      <t xml:space="preserve">納品</t>
    </r>
  </si>
  <si>
    <r>
      <rPr>
        <sz val="11"/>
        <color rgb="FF000000"/>
        <rFont val="Arial"/>
        <family val="0"/>
        <charset val="1"/>
      </rPr>
      <t xml:space="preserve">AI</t>
    </r>
    <r>
      <rPr>
        <sz val="11"/>
        <color rgb="FF000000"/>
        <rFont val="Noto Sans CJK SC"/>
        <family val="2"/>
      </rPr>
      <t xml:space="preserve">納品</t>
    </r>
  </si>
  <si>
    <t xml:space="preserve">編集可能データ一式</t>
  </si>
  <si>
    <t xml:space="preserve">著作権譲渡</t>
  </si>
  <si>
    <t xml:space="preserve">テーマの正本。案件別収益・テーマ別工数・利益分析の結合キー。</t>
  </si>
  <si>
    <t xml:space="preserve">Theme_Code</t>
  </si>
  <si>
    <t xml:space="preserve">Theme_Name</t>
  </si>
  <si>
    <t xml:space="preserve">Theme_Category</t>
  </si>
  <si>
    <t xml:space="preserve">Description</t>
  </si>
  <si>
    <t xml:space="preserve">T101</t>
  </si>
  <si>
    <t xml:space="preserve">新台入替</t>
  </si>
  <si>
    <t xml:space="preserve">通常販促</t>
  </si>
  <si>
    <t xml:space="preserve">新台導入の告知</t>
  </si>
  <si>
    <t xml:space="preserve">T102</t>
  </si>
  <si>
    <t xml:space="preserve">おすすめ機種</t>
  </si>
  <si>
    <t xml:space="preserve">注力機種の訴求</t>
  </si>
  <si>
    <t xml:space="preserve">T103</t>
  </si>
  <si>
    <t xml:space="preserve">機種訴求</t>
  </si>
  <si>
    <t xml:space="preserve">機種カテゴリ訴求</t>
  </si>
  <si>
    <t xml:space="preserve">T104</t>
  </si>
  <si>
    <t xml:space="preserve">演者来店</t>
  </si>
  <si>
    <t xml:space="preserve">ゲスト・演者来店告知</t>
  </si>
  <si>
    <t xml:space="preserve">T105</t>
  </si>
  <si>
    <t xml:space="preserve">景品訴求</t>
  </si>
  <si>
    <t xml:space="preserve">景品・賞品の訴求</t>
  </si>
  <si>
    <t xml:space="preserve">T106</t>
  </si>
  <si>
    <t xml:space="preserve">週末訴求</t>
  </si>
  <si>
    <t xml:space="preserve">週末イベント告知</t>
  </si>
  <si>
    <t xml:space="preserve">T107</t>
  </si>
  <si>
    <t xml:space="preserve">営業スケジュール</t>
  </si>
  <si>
    <t xml:space="preserve">月間スケジュール</t>
  </si>
  <si>
    <t xml:space="preserve">T108</t>
  </si>
  <si>
    <t xml:space="preserve">取材レポート</t>
  </si>
  <si>
    <t xml:space="preserve">取材・実戦レポート編集</t>
  </si>
  <si>
    <t xml:space="preserve">T109</t>
  </si>
  <si>
    <t xml:space="preserve">付加価値訴求</t>
  </si>
  <si>
    <t xml:space="preserve">会員特典等の価値訴求</t>
  </si>
  <si>
    <t xml:space="preserve">T110</t>
  </si>
  <si>
    <t xml:space="preserve">会員募集</t>
  </si>
  <si>
    <t xml:space="preserve">アプリ・会員募集</t>
  </si>
  <si>
    <t xml:space="preserve">T111</t>
  </si>
  <si>
    <t xml:space="preserve">店舗設備訴求</t>
  </si>
  <si>
    <t xml:space="preserve">設備・環境の訴求</t>
  </si>
  <si>
    <t xml:space="preserve">T112</t>
  </si>
  <si>
    <t xml:space="preserve">貯玉・再プレイ訴求</t>
  </si>
  <si>
    <t xml:space="preserve">貯玉再プレイ案内</t>
  </si>
  <si>
    <t xml:space="preserve">T113</t>
  </si>
  <si>
    <t xml:space="preserve">店舗人事告知</t>
  </si>
  <si>
    <t xml:space="preserve">スタッフ・人事告知</t>
  </si>
  <si>
    <t xml:space="preserve">T201</t>
  </si>
  <si>
    <t xml:space="preserve">周年</t>
  </si>
  <si>
    <t xml:space="preserve">オープン・大型</t>
  </si>
  <si>
    <t xml:space="preserve">周年イベント</t>
  </si>
  <si>
    <t xml:space="preserve">T202</t>
  </si>
  <si>
    <t xml:space="preserve">創業祭</t>
  </si>
  <si>
    <t xml:space="preserve">創業祭イベント</t>
  </si>
  <si>
    <t xml:space="preserve">T203</t>
  </si>
  <si>
    <t xml:space="preserve">リフレッシュオープン</t>
  </si>
  <si>
    <t xml:space="preserve">リフレッシュ</t>
  </si>
  <si>
    <t xml:space="preserve">T204</t>
  </si>
  <si>
    <t xml:space="preserve">リニューアルオープン</t>
  </si>
  <si>
    <t xml:space="preserve">リニューアル</t>
  </si>
  <si>
    <t xml:space="preserve">T205</t>
  </si>
  <si>
    <t xml:space="preserve">グランドオープン</t>
  </si>
  <si>
    <t xml:space="preserve">新規グランドオープン</t>
  </si>
  <si>
    <t xml:space="preserve">T999</t>
  </si>
  <si>
    <t xml:space="preserve">特注案件</t>
  </si>
  <si>
    <t xml:space="preserve">特注</t>
  </si>
  <si>
    <t xml:space="preserve">個別特注</t>
  </si>
  <si>
    <r>
      <rPr>
        <sz val="11"/>
        <color rgb="FF2E5496"/>
        <rFont val="Noto Sans CJK SC"/>
        <family val="2"/>
      </rPr>
      <t xml:space="preserve">イベントの正本。案件別収益のイベント名ドロップダウン／</t>
    </r>
    <r>
      <rPr>
        <sz val="11"/>
        <color rgb="FF2E5496"/>
        <rFont val="Arial"/>
        <family val="0"/>
        <charset val="1"/>
      </rPr>
      <t xml:space="preserve">Event</t>
    </r>
    <r>
      <rPr>
        <sz val="11"/>
        <color rgb="FF2E5496"/>
        <rFont val="Noto Sans CJK SC"/>
        <family val="2"/>
      </rPr>
      <t xml:space="preserve">別分析の結合キー。</t>
    </r>
  </si>
  <si>
    <t xml:space="preserve">Event_Category</t>
  </si>
  <si>
    <t xml:space="preserve">Event_Name</t>
  </si>
  <si>
    <t xml:space="preserve">国民の祝日</t>
  </si>
  <si>
    <t xml:space="preserve">元日</t>
  </si>
  <si>
    <t xml:space="preserve">成人の日</t>
  </si>
  <si>
    <t xml:space="preserve">建国記念の日</t>
  </si>
  <si>
    <t xml:space="preserve">春分の日</t>
  </si>
  <si>
    <t xml:space="preserve">昭和の日</t>
  </si>
  <si>
    <t xml:space="preserve">海の日</t>
  </si>
  <si>
    <t xml:space="preserve">山の日</t>
  </si>
  <si>
    <t xml:space="preserve">敬老の日</t>
  </si>
  <si>
    <t xml:space="preserve">秋分の日</t>
  </si>
  <si>
    <t xml:space="preserve">スポーツの日</t>
  </si>
  <si>
    <t xml:space="preserve">文化の日</t>
  </si>
  <si>
    <t xml:space="preserve">勤労感謝の日</t>
  </si>
  <si>
    <t xml:space="preserve">天皇誕生日</t>
  </si>
  <si>
    <t xml:space="preserve">習俗的行事</t>
  </si>
  <si>
    <t xml:space="preserve">節分</t>
  </si>
  <si>
    <t xml:space="preserve">バレンタインデー</t>
  </si>
  <si>
    <t xml:space="preserve">ホワイトデー</t>
  </si>
  <si>
    <t xml:space="preserve">母の日</t>
  </si>
  <si>
    <t xml:space="preserve">父の日</t>
  </si>
  <si>
    <t xml:space="preserve">七夕</t>
  </si>
  <si>
    <t xml:space="preserve">ハロウィン</t>
  </si>
  <si>
    <t xml:space="preserve">クリスマスイブ</t>
  </si>
  <si>
    <t xml:space="preserve">クリスマス</t>
  </si>
  <si>
    <t xml:space="preserve">大晦日</t>
  </si>
  <si>
    <t xml:space="preserve">大型連休</t>
  </si>
  <si>
    <t xml:space="preserve">GW</t>
  </si>
  <si>
    <t xml:space="preserve">お盆</t>
  </si>
  <si>
    <t xml:space="preserve">シルバーウィーク</t>
  </si>
  <si>
    <t xml:space="preserve">地域イベント</t>
  </si>
  <si>
    <t xml:space="preserve">地域の祭り</t>
  </si>
  <si>
    <t xml:space="preserve">業界イベント</t>
  </si>
  <si>
    <t xml:space="preserve">ファン感謝デー</t>
  </si>
  <si>
    <t xml:space="preserve">パチスロの日</t>
  </si>
  <si>
    <t xml:space="preserve">パチンコの日</t>
  </si>
  <si>
    <t xml:space="preserve">メーカー記念日</t>
  </si>
  <si>
    <t xml:space="preserve">店舗イベント</t>
  </si>
  <si>
    <t xml:space="preserve">店長就任</t>
  </si>
  <si>
    <t xml:space="preserve">店長着任</t>
  </si>
  <si>
    <t xml:space="preserve">店長交代</t>
  </si>
  <si>
    <t xml:space="preserve">料金マスタ／各種リストマスタ</t>
  </si>
  <si>
    <t xml:space="preserve">単価・税率・各ドロップダウンの参照元。ここを変更すると全シートに反映。</t>
  </si>
  <si>
    <t xml:space="preserve">単価(円)</t>
  </si>
  <si>
    <t xml:space="preserve">目安h</t>
  </si>
  <si>
    <t xml:space="preserve">テーマ種別</t>
  </si>
  <si>
    <t xml:space="preserve">受発注種別</t>
  </si>
  <si>
    <t xml:space="preserve">案件ステータス</t>
  </si>
  <si>
    <t xml:space="preserve">請求ステータス</t>
  </si>
  <si>
    <t xml:space="preserve">外注先</t>
  </si>
  <si>
    <t xml:space="preserve">顧客ステータス</t>
  </si>
  <si>
    <t xml:space="preserve">契約プラン</t>
  </si>
  <si>
    <t xml:space="preserve">外注支払</t>
  </si>
  <si>
    <t xml:space="preserve">初期構築費（オンボーディング・一回）</t>
  </si>
  <si>
    <t xml:space="preserve">リテイナー(月次)</t>
  </si>
  <si>
    <t xml:space="preserve">リテイナー</t>
  </si>
  <si>
    <t xml:space="preserve">受注</t>
  </si>
  <si>
    <t xml:space="preserve">未請求</t>
  </si>
  <si>
    <t xml:space="preserve">外注Aさん</t>
  </si>
  <si>
    <t xml:space="preserve">継続</t>
  </si>
  <si>
    <t xml:space="preserve">ライト</t>
  </si>
  <si>
    <t xml:space="preserve">未払</t>
  </si>
  <si>
    <t xml:space="preserve">ライトプラン（月4テーマ）</t>
  </si>
  <si>
    <t xml:space="preserve">新台導入</t>
  </si>
  <si>
    <t xml:space="preserve">制作中</t>
  </si>
  <si>
    <t xml:space="preserve">請求済</t>
  </si>
  <si>
    <t xml:space="preserve">外注Bさん</t>
  </si>
  <si>
    <t xml:space="preserve">商談中</t>
  </si>
  <si>
    <t xml:space="preserve">スタンダード</t>
  </si>
  <si>
    <t xml:space="preserve">支払済</t>
  </si>
  <si>
    <t xml:space="preserve">スタンダードプラン（月8テーマ）</t>
  </si>
  <si>
    <t xml:space="preserve">確認待ち</t>
  </si>
  <si>
    <t xml:space="preserve">入金済</t>
  </si>
  <si>
    <t xml:space="preserve">印刷会社X</t>
  </si>
  <si>
    <t xml:space="preserve">休止</t>
  </si>
  <si>
    <t xml:space="preserve">プレミアム</t>
  </si>
  <si>
    <t xml:space="preserve">プレミアムプラン（月12テーマ）</t>
  </si>
  <si>
    <t xml:space="preserve">機種カテゴリ</t>
  </si>
  <si>
    <t xml:space="preserve">完了</t>
  </si>
  <si>
    <t xml:space="preserve">撮影スタッフ</t>
  </si>
  <si>
    <t xml:space="preserve">解約</t>
  </si>
  <si>
    <t xml:space="preserve">超過</t>
  </si>
  <si>
    <t xml:space="preserve">超過テーマ：ライト（1テーマ）</t>
  </si>
  <si>
    <r>
      <rPr>
        <sz val="11"/>
        <color rgb="FF0000FF"/>
        <rFont val="Arial"/>
        <family val="0"/>
        <charset val="1"/>
      </rPr>
      <t xml:space="preserve">Web</t>
    </r>
    <r>
      <rPr>
        <sz val="11"/>
        <color rgb="FF0000FF"/>
        <rFont val="Noto Sans CJK SC"/>
        <family val="2"/>
      </rPr>
      <t xml:space="preserve">広告</t>
    </r>
  </si>
  <si>
    <t xml:space="preserve">超過テーマ：スタンダード（1テーマ）</t>
  </si>
  <si>
    <r>
      <rPr>
        <sz val="11"/>
        <color rgb="FF0000FF"/>
        <rFont val="Arial"/>
        <family val="0"/>
        <charset val="1"/>
      </rPr>
      <t xml:space="preserve">LINE</t>
    </r>
    <r>
      <rPr>
        <sz val="11"/>
        <color rgb="FF0000FF"/>
        <rFont val="Noto Sans CJK SC"/>
        <family val="2"/>
      </rPr>
      <t xml:space="preserve">カード</t>
    </r>
  </si>
  <si>
    <t xml:space="preserve">超過テーマ：プレミアム（1テーマ）</t>
  </si>
  <si>
    <t xml:space="preserve">グランドオープン販促パッケージ</t>
  </si>
  <si>
    <t xml:space="preserve">ゲスト来店</t>
  </si>
  <si>
    <t xml:space="preserve">新台入替・リニューアル販促パッケージ</t>
  </si>
  <si>
    <t xml:space="preserve">景品</t>
  </si>
  <si>
    <t xml:space="preserve">周年・創業祭パッケージ</t>
  </si>
  <si>
    <t xml:space="preserve">価値訴求</t>
  </si>
  <si>
    <t xml:space="preserve">季節キャンペーン単発（GW/お盆/年末年始等）</t>
  </si>
  <si>
    <t xml:space="preserve">単発テーマ制作（1テーマ）</t>
  </si>
  <si>
    <t xml:space="preserve">週末</t>
  </si>
  <si>
    <t xml:space="preserve">ゲスト来店・取材レポート編集</t>
  </si>
  <si>
    <t xml:space="preserve">ロゴ・店舗ブランド構築</t>
  </si>
  <si>
    <t xml:space="preserve">追加</t>
  </si>
  <si>
    <t xml:space="preserve">追加媒体（1点）</t>
  </si>
  <si>
    <t xml:space="preserve">当日対応特急（1案件・定額）</t>
  </si>
  <si>
    <t xml:space="preserve">年末年始</t>
  </si>
  <si>
    <t xml:space="preserve">土日祝対応（1案件）</t>
  </si>
  <si>
    <t xml:space="preserve">追加キャンペーン（1件）</t>
  </si>
  <si>
    <t xml:space="preserve">コピーライティング（1案件）</t>
  </si>
  <si>
    <t xml:space="preserve">ソース</t>
  </si>
  <si>
    <r>
      <rPr>
        <sz val="11"/>
        <color rgb="FF000000"/>
        <rFont val="Arial"/>
        <family val="0"/>
        <charset val="1"/>
      </rPr>
      <t xml:space="preserve">PSD/AI</t>
    </r>
    <r>
      <rPr>
        <sz val="11"/>
        <color rgb="FF000000"/>
        <rFont val="Noto Sans CJK SC"/>
        <family val="2"/>
      </rPr>
      <t xml:space="preserve">データ単体納品（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点）</t>
    </r>
  </si>
  <si>
    <t xml:space="preserve">編集可能ソース一式（案件全データ）</t>
  </si>
  <si>
    <t xml:space="preserve">著作権譲渡（1案件・目安）</t>
  </si>
  <si>
    <t xml:space="preserve">修正</t>
  </si>
  <si>
    <t xml:space="preserve">追加修正（1回）</t>
  </si>
  <si>
    <t xml:space="preserve">緊急修正（当日・翌日対応）</t>
  </si>
  <si>
    <t xml:space="preserve">消費税率</t>
  </si>
  <si>
    <t xml:space="preserve">特急加算率(既定)</t>
  </si>
  <si>
    <t xml:space="preserve">顧客マスタ</t>
  </si>
  <si>
    <t xml:space="preserve">全顧客の基本台帳。顧客ID は全シートの結合キー。</t>
  </si>
  <si>
    <t xml:space="preserve">顧客ID</t>
  </si>
  <si>
    <t xml:space="preserve">店舗名</t>
  </si>
  <si>
    <t xml:space="preserve">担当者</t>
  </si>
  <si>
    <t xml:space="preserve">連絡先</t>
  </si>
  <si>
    <t xml:space="preserve">月額(円)</t>
  </si>
  <si>
    <t xml:space="preserve">契約開始</t>
  </si>
  <si>
    <t xml:space="preserve">最低契約(月)</t>
  </si>
  <si>
    <t xml:space="preserve">ステータス</t>
  </si>
  <si>
    <t xml:space="preserve">備考</t>
  </si>
  <si>
    <t xml:space="preserve">C001</t>
  </si>
  <si>
    <t xml:space="preserve">パーラー〇〇 本店</t>
  </si>
  <si>
    <t xml:space="preserve">田中</t>
  </si>
  <si>
    <t xml:space="preserve">tanaka@ex.jp</t>
  </si>
  <si>
    <t xml:space="preserve">主力</t>
  </si>
  <si>
    <t xml:space="preserve">C002</t>
  </si>
  <si>
    <t xml:space="preserve">△△ホール 駅前店</t>
  </si>
  <si>
    <t xml:space="preserve">佐藤</t>
  </si>
  <si>
    <t xml:space="preserve">sato@ex.jp</t>
  </si>
  <si>
    <t xml:space="preserve">新規</t>
  </si>
  <si>
    <t xml:space="preserve">C003</t>
  </si>
  <si>
    <t xml:space="preserve">□□会館</t>
  </si>
  <si>
    <t xml:space="preserve">鈴木</t>
  </si>
  <si>
    <t xml:space="preserve">suzuki@ex.jp</t>
  </si>
  <si>
    <t xml:space="preserve">最優先</t>
  </si>
  <si>
    <t xml:space="preserve">C004</t>
  </si>
  <si>
    <t xml:space="preserve">◇◇パチンコ</t>
  </si>
  <si>
    <t xml:space="preserve">高橋</t>
  </si>
  <si>
    <t xml:space="preserve">takahashi@ex.jp</t>
  </si>
  <si>
    <t xml:space="preserve">見込み</t>
  </si>
  <si>
    <t xml:space="preserve">継続 月額合計</t>
  </si>
  <si>
    <t xml:space="preserve">自動見積ジェネレーター</t>
  </si>
  <si>
    <t xml:space="preserve">見積番号</t>
  </si>
  <si>
    <t xml:space="preserve">Q-2026-001</t>
  </si>
  <si>
    <t xml:space="preserve">発行日</t>
  </si>
  <si>
    <t xml:space="preserve">品目（選択）</t>
  </si>
  <si>
    <t xml:space="preserve">数量</t>
  </si>
  <si>
    <t xml:space="preserve">金額</t>
  </si>
  <si>
    <r>
      <rPr>
        <sz val="11"/>
        <color rgb="FF0000FF"/>
        <rFont val="Arial"/>
        <family val="0"/>
        <charset val="1"/>
      </rPr>
      <t xml:space="preserve">PSD</t>
    </r>
    <r>
      <rPr>
        <sz val="11"/>
        <color rgb="FF0000FF"/>
        <rFont val="Noto Sans CJK SC"/>
        <family val="2"/>
      </rPr>
      <t xml:space="preserve">納品</t>
    </r>
  </si>
  <si>
    <r>
      <rPr>
        <sz val="11"/>
        <color rgb="FF0000FF"/>
        <rFont val="Noto Sans CJK SC"/>
        <family val="2"/>
      </rPr>
      <t xml:space="preserve">修正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回目以降</t>
    </r>
  </si>
  <si>
    <t xml:space="preserve">小計</t>
  </si>
  <si>
    <t xml:space="preserve">特急加算率</t>
  </si>
  <si>
    <t xml:space="preserve">特急加算</t>
  </si>
  <si>
    <t xml:space="preserve">土日祝加算(¥)</t>
  </si>
  <si>
    <t xml:space="preserve">土日加算</t>
  </si>
  <si>
    <t xml:space="preserve">値引き</t>
  </si>
  <si>
    <t xml:space="preserve">課税対象</t>
  </si>
  <si>
    <t xml:space="preserve">消費税</t>
  </si>
  <si>
    <t xml:space="preserve">合計（税込）</t>
  </si>
  <si>
    <t xml:space="preserve">確定後は『案件別収益』へ案件として登録、『契約書』へ見積番号を引き継ぐ。</t>
  </si>
  <si>
    <t xml:space="preserve">契約書ジェネレーター</t>
  </si>
  <si>
    <t xml:space="preserve">契約番号</t>
  </si>
  <si>
    <t xml:space="preserve">K-2026-001</t>
  </si>
  <si>
    <t xml:space="preserve">参照見積番号</t>
  </si>
  <si>
    <t xml:space="preserve">月額(税抜)</t>
  </si>
  <si>
    <t xml:space="preserve">契約日</t>
  </si>
  <si>
    <t xml:space="preserve">最低契約期間(月)</t>
  </si>
  <si>
    <t xml:space="preserve">見積合計(税込)</t>
  </si>
  <si>
    <t xml:space="preserve">契約条項（自動生成）</t>
  </si>
  <si>
    <t xml:space="preserve">第1条 業務範囲</t>
  </si>
  <si>
    <t xml:space="preserve">本契約は別添『スコープ定義』に定める範囲を対象とし、範囲外業務は別途料金とする。</t>
  </si>
  <si>
    <t xml:space="preserve">第2条 月額・期間</t>
  </si>
  <si>
    <t xml:space="preserve">第3条 納品形態</t>
  </si>
  <si>
    <t xml:space="preserve">成果物はJPG形式での納品を原則とする。</t>
  </si>
  <si>
    <t xml:space="preserve">第4条 ソースデータ</t>
  </si>
  <si>
    <r>
      <rPr>
        <sz val="11"/>
        <color rgb="FF000000"/>
        <rFont val="Arial"/>
        <family val="0"/>
        <charset val="1"/>
      </rPr>
      <t xml:space="preserve">PSD</t>
    </r>
    <r>
      <rPr>
        <sz val="11"/>
        <color rgb="FF000000"/>
        <rFont val="Noto Sans CJK SC"/>
        <family val="2"/>
      </rPr>
      <t xml:space="preserve">・</t>
    </r>
    <r>
      <rPr>
        <sz val="11"/>
        <color rgb="FF000000"/>
        <rFont val="Arial"/>
        <family val="0"/>
        <charset val="1"/>
      </rPr>
      <t xml:space="preserve">AI</t>
    </r>
    <r>
      <rPr>
        <sz val="11"/>
        <color rgb="FF000000"/>
        <rFont val="Noto Sans CJK SC"/>
        <family val="2"/>
      </rPr>
      <t xml:space="preserve">・編集可能ソースは標準納品に含まず、別料金（料金マスタ準拠）とする。</t>
    </r>
  </si>
  <si>
    <t xml:space="preserve">第5条 修正</t>
  </si>
  <si>
    <t xml:space="preserve">規定回数（1テーマ2回）を超える修正は1回¥4,000、緊急修正は¥9,000とする。</t>
  </si>
  <si>
    <t xml:space="preserve">第6条 特急・休日</t>
  </si>
  <si>
    <t xml:space="preserve">特急（48時間以内）は案件額の+30〜50%、土日祝対応は¥10,000または+30%を加算する。</t>
  </si>
  <si>
    <t xml:space="preserve">第7条 追加</t>
  </si>
  <si>
    <t xml:space="preserve">追加媒体¥2,000/点、追加キャンペーン¥15,000/件、超過テーマはプラン別単価を適用する。</t>
  </si>
  <si>
    <t xml:space="preserve">第8条 著作権</t>
  </si>
  <si>
    <t xml:space="preserve">著作権は制作者に帰属し、譲渡は別途見積（制作費の200%目安）による。</t>
  </si>
  <si>
    <t xml:space="preserve">第9条 支払</t>
  </si>
  <si>
    <t xml:space="preserve">請求は月末締め、翌月末日支払いとする。</t>
  </si>
  <si>
    <t xml:space="preserve">案件別収益（中核台帳）</t>
  </si>
  <si>
    <t xml:space="preserve">売上・粗利の元データ。外注費は『外注管理』から自動集計。</t>
  </si>
  <si>
    <t xml:space="preserve">案件ID</t>
  </si>
  <si>
    <t xml:space="preserve">案件名</t>
  </si>
  <si>
    <t xml:space="preserve">種別</t>
  </si>
  <si>
    <t xml:space="preserve">受注日</t>
  </si>
  <si>
    <t xml:space="preserve">納期</t>
  </si>
  <si>
    <t xml:space="preserve">月</t>
  </si>
  <si>
    <t xml:space="preserve">売上(円)</t>
  </si>
  <si>
    <t xml:space="preserve">外注費</t>
  </si>
  <si>
    <t xml:space="preserve">工数h</t>
  </si>
  <si>
    <t xml:space="preserve">粗利</t>
  </si>
  <si>
    <t xml:space="preserve">粗利率</t>
  </si>
  <si>
    <t xml:space="preserve">実質時給</t>
  </si>
  <si>
    <t xml:space="preserve">テーマコード</t>
  </si>
  <si>
    <t xml:space="preserve">テーマ名</t>
  </si>
  <si>
    <t xml:space="preserve">イベント名</t>
  </si>
  <si>
    <t xml:space="preserve">テーマカテゴリ</t>
  </si>
  <si>
    <t xml:space="preserve">プラン</t>
  </si>
  <si>
    <t xml:space="preserve">J001</t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</si>
  <si>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Noto Sans CJK SC"/>
        <family val="2"/>
      </rPr>
      <t xml:space="preserve">月リテイナー</t>
    </r>
  </si>
  <si>
    <t xml:space="preserve">J002</t>
  </si>
  <si>
    <t xml:space="preserve">J003</t>
  </si>
  <si>
    <t xml:space="preserve">J004</t>
  </si>
  <si>
    <t xml:space="preserve">リニューアル販促一式</t>
  </si>
  <si>
    <t xml:space="preserve">J005</t>
  </si>
  <si>
    <t xml:space="preserve">周年祭パッケージ</t>
  </si>
  <si>
    <t xml:space="preserve">J006</t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</si>
  <si>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月リテイナー</t>
    </r>
  </si>
  <si>
    <t xml:space="preserve">J007</t>
  </si>
  <si>
    <t xml:space="preserve">外注管理</t>
  </si>
  <si>
    <t xml:space="preserve">外注費は案件IDをキーに『案件別収益』へ自動集計。</t>
  </si>
  <si>
    <t xml:space="preserve">外注ID</t>
  </si>
  <si>
    <t xml:space="preserve">作業内容</t>
  </si>
  <si>
    <t xml:space="preserve">発注日</t>
  </si>
  <si>
    <t xml:space="preserve">支払</t>
  </si>
  <si>
    <t xml:space="preserve">O001</t>
  </si>
  <si>
    <t xml:space="preserve">展開作業10点</t>
  </si>
  <si>
    <t xml:space="preserve">サイズ展開</t>
  </si>
  <si>
    <t xml:space="preserve">O002</t>
  </si>
  <si>
    <t xml:space="preserve">バナー量産8点</t>
  </si>
  <si>
    <r>
      <rPr>
        <sz val="11"/>
        <color rgb="FF595959"/>
        <rFont val="Arial"/>
        <family val="0"/>
        <charset val="1"/>
      </rPr>
      <t xml:space="preserve">SNS</t>
    </r>
    <r>
      <rPr>
        <sz val="11"/>
        <color rgb="FF595959"/>
        <rFont val="Noto Sans CJK SC"/>
        <family val="2"/>
      </rPr>
      <t xml:space="preserve">用</t>
    </r>
  </si>
  <si>
    <t xml:space="preserve">請求管理</t>
  </si>
  <si>
    <t xml:space="preserve">案件IDをキーに顧客・店舗を自動取得。入金管理の参照元。</t>
  </si>
  <si>
    <t xml:space="preserve">請求番号</t>
  </si>
  <si>
    <t xml:space="preserve">請求日</t>
  </si>
  <si>
    <t xml:space="preserve">請求額(税抜)</t>
  </si>
  <si>
    <t xml:space="preserve">請求合計(税込)</t>
  </si>
  <si>
    <t xml:space="preserve">支払期限</t>
  </si>
  <si>
    <r>
      <rPr>
        <b val="true"/>
        <sz val="11"/>
        <color rgb="FFFFFFFF"/>
        <rFont val="Noto Sans CJK SC"/>
        <family val="2"/>
      </rPr>
      <t xml:space="preserve">追加項目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任意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</si>
  <si>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追加金額</t>
  </si>
  <si>
    <t xml:space="preserve">INV-2026-001</t>
  </si>
  <si>
    <t xml:space="preserve">INV-2026-002</t>
  </si>
  <si>
    <t xml:space="preserve">INV-2026-003</t>
  </si>
  <si>
    <t xml:space="preserve">INV-2026-004</t>
  </si>
  <si>
    <t xml:space="preserve">INV-2026-005</t>
  </si>
  <si>
    <t xml:space="preserve">入金管理</t>
  </si>
  <si>
    <t xml:space="preserve">請求番号をキーに自動参照。延滞を自動判定。</t>
  </si>
  <si>
    <t xml:space="preserve">請求合計</t>
  </si>
  <si>
    <t xml:space="preserve">入金日</t>
  </si>
  <si>
    <t xml:space="preserve">入金額</t>
  </si>
  <si>
    <t xml:space="preserve">差額</t>
  </si>
  <si>
    <t xml:space="preserve">状態</t>
  </si>
  <si>
    <t xml:space="preserve">顧客別収益</t>
  </si>
  <si>
    <t xml:space="preserve">顧客ID別に売上・粗利・未収を集計。</t>
  </si>
  <si>
    <t xml:space="preserve">売上累計(税抜)</t>
  </si>
  <si>
    <t xml:space="preserve">外注費累計</t>
  </si>
  <si>
    <t xml:space="preserve">粗利累計</t>
  </si>
  <si>
    <t xml:space="preserve">請求累計(税込)</t>
  </si>
  <si>
    <t xml:space="preserve">入金累計</t>
  </si>
  <si>
    <t xml:space="preserve">未収残</t>
  </si>
  <si>
    <t xml:space="preserve">案件数</t>
  </si>
  <si>
    <t xml:space="preserve">通常販促件数</t>
  </si>
  <si>
    <t xml:space="preserve">オープン大型件数</t>
  </si>
  <si>
    <t xml:space="preserve">特注件数</t>
  </si>
  <si>
    <t xml:space="preserve">テーマ別工数分析</t>
  </si>
  <si>
    <r>
      <rPr>
        <sz val="11"/>
        <color rgb="FF2E5496"/>
        <rFont val="Noto Sans CJK SC"/>
        <family val="2"/>
      </rPr>
      <t xml:space="preserve">左</t>
    </r>
    <r>
      <rPr>
        <sz val="11"/>
        <color rgb="FF2E5496"/>
        <rFont val="Arial"/>
        <family val="0"/>
        <charset val="1"/>
      </rPr>
      <t xml:space="preserve">:</t>
    </r>
    <r>
      <rPr>
        <sz val="11"/>
        <color rgb="FF2E5496"/>
        <rFont val="Noto Sans CJK SC"/>
        <family val="2"/>
      </rPr>
      <t xml:space="preserve">実施ログ</t>
    </r>
    <r>
      <rPr>
        <sz val="11"/>
        <color rgb="FF2E5496"/>
        <rFont val="Arial"/>
        <family val="0"/>
        <charset val="1"/>
      </rPr>
      <t xml:space="preserve">(Theme_Code</t>
    </r>
    <r>
      <rPr>
        <sz val="11"/>
        <color rgb="FF2E5496"/>
        <rFont val="Noto Sans CJK SC"/>
        <family val="2"/>
      </rPr>
      <t xml:space="preserve">基点</t>
    </r>
    <r>
      <rPr>
        <sz val="11"/>
        <color rgb="FF2E5496"/>
        <rFont val="Arial"/>
        <family val="0"/>
        <charset val="1"/>
      </rPr>
      <t xml:space="preserve">) / </t>
    </r>
    <r>
      <rPr>
        <sz val="11"/>
        <color rgb="FF2E5496"/>
        <rFont val="Noto Sans CJK SC"/>
        <family val="2"/>
      </rPr>
      <t xml:space="preserve">右</t>
    </r>
    <r>
      <rPr>
        <sz val="11"/>
        <color rgb="FF2E5496"/>
        <rFont val="Arial"/>
        <family val="0"/>
        <charset val="1"/>
      </rPr>
      <t xml:space="preserve">:Theme_Code</t>
    </r>
    <r>
      <rPr>
        <sz val="11"/>
        <color rgb="FF2E5496"/>
        <rFont val="Noto Sans CJK SC"/>
        <family val="2"/>
      </rPr>
      <t xml:space="preserve">別の自動集計。</t>
    </r>
  </si>
  <si>
    <t xml:space="preserve">日付</t>
  </si>
  <si>
    <r>
      <rPr>
        <b val="true"/>
        <sz val="11"/>
        <color rgb="FFFFFFFF"/>
        <rFont val="Noto Sans CJK SC"/>
        <family val="2"/>
      </rPr>
      <t xml:space="preserve">顧客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</si>
  <si>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媒体数</t>
  </si>
  <si>
    <r>
      <rPr>
        <b val="true"/>
        <sz val="11"/>
        <color rgb="FFFFFFFF"/>
        <rFont val="Noto Sans CJK SC"/>
        <family val="2"/>
      </rPr>
      <t xml:space="preserve">工数</t>
    </r>
    <r>
      <rPr>
        <b val="true"/>
        <sz val="11"/>
        <color rgb="FFFFFFFF"/>
        <rFont val="Arial"/>
        <family val="0"/>
        <charset val="1"/>
      </rPr>
      <t xml:space="preserve">h</t>
    </r>
  </si>
  <si>
    <r>
      <rPr>
        <b val="true"/>
        <sz val="11"/>
        <color rgb="FFFFFFFF"/>
        <rFont val="Noto Sans CJK SC"/>
        <family val="2"/>
      </rPr>
      <t xml:space="preserve">売上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任意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</si>
  <si>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件数</t>
  </si>
  <si>
    <t xml:space="preserve">総工数</t>
  </si>
  <si>
    <t xml:space="preserve">平均工数</t>
  </si>
  <si>
    <t xml:space="preserve">総売上</t>
  </si>
  <si>
    <t xml:space="preserve">平均時給</t>
  </si>
  <si>
    <t xml:space="preserve">利益分析</t>
  </si>
  <si>
    <r>
      <rPr>
        <sz val="11"/>
        <color rgb="FF2E5496"/>
        <rFont val="Noto Sans CJK SC"/>
        <family val="2"/>
      </rPr>
      <t xml:space="preserve">案件別収益から自動集計。商品別・</t>
    </r>
    <r>
      <rPr>
        <sz val="11"/>
        <color rgb="FF2E5496"/>
        <rFont val="Arial"/>
        <family val="0"/>
        <charset val="1"/>
      </rPr>
      <t xml:space="preserve">Theme</t>
    </r>
    <r>
      <rPr>
        <sz val="11"/>
        <color rgb="FF2E5496"/>
        <rFont val="Noto Sans CJK SC"/>
        <family val="2"/>
      </rPr>
      <t xml:space="preserve">別・</t>
    </r>
    <r>
      <rPr>
        <sz val="11"/>
        <color rgb="FF2E5496"/>
        <rFont val="Arial"/>
        <family val="0"/>
        <charset val="1"/>
      </rPr>
      <t xml:space="preserve">Event</t>
    </r>
    <r>
      <rPr>
        <sz val="11"/>
        <color rgb="FF2E5496"/>
        <rFont val="Noto Sans CJK SC"/>
        <family val="2"/>
      </rPr>
      <t xml:space="preserve">別。</t>
    </r>
  </si>
  <si>
    <t xml:space="preserve">■ 商品別利益分析</t>
  </si>
  <si>
    <t xml:space="preserve">商品</t>
  </si>
  <si>
    <t xml:space="preserve">売上</t>
  </si>
  <si>
    <t xml:space="preserve">スポット計</t>
  </si>
  <si>
    <r>
      <rPr>
        <b val="true"/>
        <sz val="11"/>
        <color rgb="FFFFFFFF"/>
        <rFont val="Arial"/>
        <family val="0"/>
        <charset val="1"/>
      </rPr>
      <t xml:space="preserve">■ Theme</t>
    </r>
    <r>
      <rPr>
        <b val="true"/>
        <sz val="11"/>
        <color rgb="FFFFFFFF"/>
        <rFont val="Noto Sans CJK SC"/>
        <family val="2"/>
      </rPr>
      <t xml:space="preserve">別利益分析</t>
    </r>
  </si>
  <si>
    <r>
      <rPr>
        <b val="true"/>
        <sz val="11"/>
        <color rgb="FFFFFFFF"/>
        <rFont val="Arial"/>
        <family val="0"/>
        <charset val="1"/>
      </rPr>
      <t xml:space="preserve">■ Event</t>
    </r>
    <r>
      <rPr>
        <b val="true"/>
        <sz val="11"/>
        <color rgb="FFFFFFFF"/>
        <rFont val="Noto Sans CJK SC"/>
        <family val="2"/>
      </rPr>
      <t xml:space="preserve">別案件分析</t>
    </r>
  </si>
  <si>
    <t xml:space="preserve">月次損益レポート</t>
  </si>
  <si>
    <t xml:space="preserve">『案件別収益』から月別に自動集計。</t>
  </si>
  <si>
    <t xml:space="preserve">リテイナー売上</t>
  </si>
  <si>
    <t xml:space="preserve">スポット売上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</si>
  <si>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</si>
  <si>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</si>
  <si>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</si>
  <si>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</si>
  <si>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</si>
  <si>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</si>
  <si>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</si>
  <si>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</si>
  <si>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</si>
  <si>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</si>
  <si>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</si>
  <si>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</si>
  <si>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年計</t>
  </si>
  <si>
    <t xml:space="preserve">年間予測</t>
  </si>
  <si>
    <t xml:space="preserve">リテイナー基盤は継続月額から自動。スポット・季節は手入力。</t>
  </si>
  <si>
    <t xml:space="preserve">リテイナー基盤</t>
  </si>
  <si>
    <t xml:space="preserve">スポット見込</t>
  </si>
  <si>
    <t xml:space="preserve">季節案件</t>
  </si>
  <si>
    <t xml:space="preserve">予測売上</t>
  </si>
  <si>
    <t xml:space="preserve">想定外注率</t>
  </si>
  <si>
    <t xml:space="preserve">予測外注費</t>
  </si>
  <si>
    <t xml:space="preserve">予測粗利</t>
  </si>
  <si>
    <t xml:space="preserve">年間合計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</si>
</sst>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¥#,##0;&quot;(¥&quot;#,##0\);\-"/>
    <numFmt numFmtId="166" formatCode="0.0\h"/>
    <numFmt numFmtId="167" formatCode="\¥#,##0;&quot;(¥&quot;#,##0\);\-"/>
    <numFmt numFmtId="168" formatCode="0.0\h"/>
    <numFmt numFmtId="169" formatCode="0.0%"/>
    <numFmt numFmtId="170" formatCode="yyyy\-mm\-dd"/>
    <numFmt numFmtId="171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Noto Sans CJK SC"/>
      <family val="2"/>
    </font>
    <font>
      <b val="true"/>
      <sz val="16"/>
      <color rgb="FF1F3864"/>
      <name val="Arial"/>
      <family val="0"/>
      <charset val="1"/>
    </font>
    <font>
      <sz val="11"/>
      <color rgb="FF2E5496"/>
      <name val="Arial"/>
      <family val="0"/>
      <charset val="1"/>
    </font>
    <font>
      <sz val="11"/>
      <color rgb="FF2E5496"/>
      <name val="Noto Sans CJK SC"/>
      <family val="2"/>
    </font>
    <font>
      <b val="true"/>
      <sz val="11"/>
      <color rgb="FF1F3864"/>
      <name val="Noto Sans CJK SC"/>
      <family val="2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1F3864"/>
      <name val="Noto Sans CJK SC"/>
      <family val="2"/>
    </font>
    <font>
      <sz val="11"/>
      <color rgb="FF000000"/>
      <name val="Noto Sans CJK SC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595959"/>
      <name val="Noto Sans CJK SC"/>
      <family val="2"/>
    </font>
    <font>
      <b val="true"/>
      <sz val="14"/>
      <color rgb="FF1F3864"/>
      <name val="Noto Sans CJK SC"/>
      <family val="2"/>
      <charset val="1"/>
    </font>
    <font>
      <sz val="11"/>
      <color rgb="FF2E549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sz val="11"/>
      <color rgb="FF0000FF"/>
      <name val="Noto Sans CJK SC"/>
      <family val="2"/>
    </font>
    <font>
      <b val="true"/>
      <sz val="11"/>
      <color rgb="FF000000"/>
      <name val="Noto Sans CJK SC"/>
      <family val="2"/>
      <charset val="1"/>
    </font>
    <font>
      <sz val="11"/>
      <color rgb="FF008000"/>
      <name val="Noto Sans CJK SC"/>
      <family val="2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595959"/>
      <name val="Noto Sans CJK SC"/>
      <family val="2"/>
      <charset val="1"/>
    </font>
    <font>
      <sz val="11"/>
      <color rgb="FF595959"/>
      <name val="Arial"/>
      <family val="0"/>
      <charset val="1"/>
    </font>
    <font>
      <b val="true"/>
      <sz val="14"/>
      <color rgb="FF1F3864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80"/>
  </cols>
  <sheetData>
    <row r="2" customFormat="false" ht="23.25" hidden="false" customHeight="true" outlineLevel="0" collapsed="false">
      <c r="B2" s="2" t="s">
        <v>0</v>
      </c>
    </row>
    <row r="3" customFormat="false" ht="16.5" hidden="false" customHeight="true" outlineLevel="0" collapsed="false">
      <c r="B3" s="3" t="s">
        <v>1</v>
      </c>
    </row>
    <row r="5" customFormat="false" ht="30" hidden="false" customHeight="true" outlineLevel="0" collapsed="false">
      <c r="B5" s="4" t="s">
        <v>2</v>
      </c>
      <c r="C5" s="5"/>
    </row>
    <row r="6" customFormat="false" ht="30" hidden="false" customHeight="true" outlineLevel="0" collapsed="false">
      <c r="B6" s="6" t="s">
        <v>3</v>
      </c>
      <c r="C6" s="7" t="s">
        <v>4</v>
      </c>
    </row>
    <row r="7" customFormat="false" ht="30" hidden="false" customHeight="true" outlineLevel="0" collapsed="false">
      <c r="B7" s="6" t="s">
        <v>5</v>
      </c>
      <c r="C7" s="7" t="s">
        <v>6</v>
      </c>
    </row>
    <row r="8" customFormat="false" ht="30" hidden="false" customHeight="true" outlineLevel="0" collapsed="false">
      <c r="B8" s="6" t="s">
        <v>7</v>
      </c>
      <c r="C8" s="7" t="s">
        <v>8</v>
      </c>
    </row>
    <row r="9" customFormat="false" ht="30" hidden="false" customHeight="true" outlineLevel="0" collapsed="false">
      <c r="B9" s="6" t="s">
        <v>9</v>
      </c>
      <c r="C9" s="7" t="s">
        <v>10</v>
      </c>
    </row>
    <row r="10" customFormat="false" ht="30" hidden="false" customHeight="true" outlineLevel="0" collapsed="false">
      <c r="B10" s="6" t="s">
        <v>11</v>
      </c>
      <c r="C10" s="7" t="s">
        <v>12</v>
      </c>
    </row>
    <row r="11" customFormat="false" ht="30" hidden="false" customHeight="true" outlineLevel="0" collapsed="false">
      <c r="B11" s="6" t="s">
        <v>13</v>
      </c>
      <c r="C11" s="7" t="s">
        <v>14</v>
      </c>
    </row>
    <row r="12" customFormat="false" ht="30" hidden="false" customHeight="true" outlineLevel="0" collapsed="false">
      <c r="B12" s="6" t="s">
        <v>15</v>
      </c>
      <c r="C12" s="7" t="s">
        <v>16</v>
      </c>
    </row>
    <row r="13" customFormat="false" ht="30" hidden="false" customHeight="true" outlineLevel="0" collapsed="false">
      <c r="B13" s="6" t="s">
        <v>17</v>
      </c>
      <c r="C13" s="7" t="s">
        <v>18</v>
      </c>
    </row>
    <row r="14" customFormat="false" ht="30" hidden="false" customHeight="true" outlineLevel="0" collapsed="false">
      <c r="B14" s="6" t="s">
        <v>19</v>
      </c>
      <c r="C14" s="7" t="s">
        <v>20</v>
      </c>
    </row>
    <row r="15" customFormat="false" ht="30" hidden="false" customHeight="true" outlineLevel="0" collapsed="false">
      <c r="B15" s="6" t="s">
        <v>21</v>
      </c>
      <c r="C15" s="7" t="s">
        <v>22</v>
      </c>
    </row>
    <row r="16" customFormat="false" ht="30" hidden="false" customHeight="true" outlineLevel="0" collapsed="false">
      <c r="B16" s="8" t="s">
        <v>23</v>
      </c>
      <c r="C16" s="5" t="s">
        <v>24</v>
      </c>
    </row>
    <row r="17" customFormat="false" ht="30" hidden="false" customHeight="true" outlineLevel="0" collapsed="false">
      <c r="B17" s="8" t="s">
        <v>25</v>
      </c>
      <c r="C17" s="9" t="s">
        <v>26</v>
      </c>
    </row>
    <row r="18" customFormat="false" ht="30" hidden="false" customHeight="true" outlineLevel="0" collapsed="false">
      <c r="B18" s="8" t="s">
        <v>27</v>
      </c>
      <c r="C18" s="9" t="s">
        <v>28</v>
      </c>
    </row>
    <row r="19" customFormat="false" ht="30" hidden="false" customHeight="true" outlineLevel="0" collapsed="false">
      <c r="B19" s="8" t="s">
        <v>29</v>
      </c>
      <c r="C19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1"/>
  </cols>
  <sheetData>
    <row r="1" customFormat="false" ht="17.35" hidden="false" customHeight="false" outlineLevel="0" collapsed="false">
      <c r="A1" s="10" t="s">
        <v>25</v>
      </c>
    </row>
    <row r="2" customFormat="false" ht="15" hidden="false" customHeight="false" outlineLevel="0" collapsed="false">
      <c r="A2" s="11" t="s">
        <v>31</v>
      </c>
    </row>
    <row r="3" customFormat="false" ht="17.15" hidden="false" customHeight="false" outlineLevel="0" collapsed="false">
      <c r="A3" s="12" t="s">
        <v>32</v>
      </c>
      <c r="B3" s="12" t="s">
        <v>33</v>
      </c>
      <c r="C3" s="12" t="s">
        <v>34</v>
      </c>
      <c r="D3" s="12" t="s">
        <v>35</v>
      </c>
    </row>
    <row r="4" customFormat="false" ht="15" hidden="false" customHeight="false" outlineLevel="0" collapsed="false">
      <c r="A4" s="13" t="s">
        <v>36</v>
      </c>
      <c r="B4" s="14" t="s">
        <v>37</v>
      </c>
      <c r="C4" s="15" t="n">
        <v>60000</v>
      </c>
      <c r="D4" s="16" t="n">
        <v>16</v>
      </c>
    </row>
    <row r="5" customFormat="false" ht="15" hidden="false" customHeight="false" outlineLevel="0" collapsed="false">
      <c r="A5" s="13" t="s">
        <v>36</v>
      </c>
      <c r="B5" s="14" t="s">
        <v>38</v>
      </c>
      <c r="C5" s="15" t="n">
        <v>100000</v>
      </c>
      <c r="D5" s="16" t="n">
        <v>32</v>
      </c>
    </row>
    <row r="6" customFormat="false" ht="15" hidden="false" customHeight="false" outlineLevel="0" collapsed="false">
      <c r="A6" s="13" t="s">
        <v>36</v>
      </c>
      <c r="B6" s="14" t="s">
        <v>39</v>
      </c>
      <c r="C6" s="15" t="n">
        <v>160000</v>
      </c>
      <c r="D6" s="16" t="n">
        <v>48</v>
      </c>
    </row>
    <row r="7" customFormat="false" ht="15" hidden="false" customHeight="false" outlineLevel="0" collapsed="false">
      <c r="A7" s="13" t="s">
        <v>40</v>
      </c>
      <c r="B7" s="14" t="s">
        <v>41</v>
      </c>
      <c r="C7" s="15" t="n">
        <v>150000</v>
      </c>
      <c r="D7" s="16" t="n">
        <v>8</v>
      </c>
    </row>
    <row r="8" customFormat="false" ht="15" hidden="false" customHeight="false" outlineLevel="0" collapsed="false">
      <c r="A8" s="13" t="s">
        <v>42</v>
      </c>
      <c r="B8" s="14" t="s">
        <v>43</v>
      </c>
      <c r="C8" s="15" t="n">
        <v>50000</v>
      </c>
      <c r="D8" s="16" t="n">
        <v>5</v>
      </c>
    </row>
    <row r="9" customFormat="false" ht="15" hidden="false" customHeight="false" outlineLevel="0" collapsed="false">
      <c r="A9" s="13" t="s">
        <v>42</v>
      </c>
      <c r="B9" s="14" t="s">
        <v>44</v>
      </c>
      <c r="C9" s="15" t="n">
        <v>100000</v>
      </c>
      <c r="D9" s="16" t="n">
        <v>10</v>
      </c>
    </row>
    <row r="10" customFormat="false" ht="15" hidden="false" customHeight="false" outlineLevel="0" collapsed="false">
      <c r="A10" s="13" t="s">
        <v>42</v>
      </c>
      <c r="B10" s="14" t="s">
        <v>45</v>
      </c>
      <c r="C10" s="15" t="n">
        <v>200000</v>
      </c>
      <c r="D10" s="16" t="n">
        <v>30</v>
      </c>
    </row>
    <row r="11" customFormat="false" ht="15" hidden="false" customHeight="false" outlineLevel="0" collapsed="false">
      <c r="A11" s="13" t="s">
        <v>46</v>
      </c>
      <c r="B11" s="14" t="s">
        <v>47</v>
      </c>
      <c r="C11" s="15" t="n">
        <v>2000</v>
      </c>
      <c r="D11" s="16" t="n">
        <v>0.5</v>
      </c>
    </row>
    <row r="12" customFormat="false" ht="15" hidden="false" customHeight="false" outlineLevel="0" collapsed="false">
      <c r="A12" s="13" t="s">
        <v>46</v>
      </c>
      <c r="B12" s="14" t="s">
        <v>48</v>
      </c>
      <c r="C12" s="15" t="n">
        <v>2000</v>
      </c>
      <c r="D12" s="16" t="n">
        <v>0.5</v>
      </c>
    </row>
    <row r="13" customFormat="false" ht="17.15" hidden="false" customHeight="false" outlineLevel="0" collapsed="false">
      <c r="A13" s="13" t="s">
        <v>46</v>
      </c>
      <c r="B13" s="14" t="s">
        <v>49</v>
      </c>
      <c r="C13" s="15" t="n">
        <v>4000</v>
      </c>
      <c r="D13" s="16" t="n">
        <v>1</v>
      </c>
    </row>
    <row r="14" customFormat="false" ht="15" hidden="false" customHeight="false" outlineLevel="0" collapsed="false">
      <c r="A14" s="13" t="s">
        <v>46</v>
      </c>
      <c r="B14" s="14" t="s">
        <v>50</v>
      </c>
      <c r="C14" s="15" t="n">
        <v>9000</v>
      </c>
      <c r="D14" s="16" t="n">
        <v>1</v>
      </c>
    </row>
    <row r="15" customFormat="false" ht="15" hidden="false" customHeight="false" outlineLevel="0" collapsed="false">
      <c r="A15" s="13" t="s">
        <v>46</v>
      </c>
      <c r="B15" s="14" t="s">
        <v>51</v>
      </c>
      <c r="C15" s="15" t="n">
        <v>10000</v>
      </c>
      <c r="D15" s="16" t="n">
        <v>0</v>
      </c>
    </row>
    <row r="16" customFormat="false" ht="15" hidden="false" customHeight="false" outlineLevel="0" collapsed="false">
      <c r="A16" s="13" t="s">
        <v>46</v>
      </c>
      <c r="B16" s="14" t="s">
        <v>52</v>
      </c>
      <c r="C16" s="15" t="n">
        <v>5000</v>
      </c>
      <c r="D16" s="16" t="n">
        <v>0</v>
      </c>
    </row>
    <row r="17" customFormat="false" ht="15" hidden="false" customHeight="false" outlineLevel="0" collapsed="false">
      <c r="A17" s="13" t="s">
        <v>46</v>
      </c>
      <c r="B17" s="14" t="s">
        <v>53</v>
      </c>
      <c r="C17" s="15" t="n">
        <v>10000</v>
      </c>
      <c r="D17" s="16" t="n">
        <v>0</v>
      </c>
    </row>
    <row r="18" customFormat="false" ht="15" hidden="false" customHeight="false" outlineLevel="0" collapsed="false">
      <c r="A18" s="13" t="s">
        <v>46</v>
      </c>
      <c r="B18" s="14" t="s">
        <v>54</v>
      </c>
      <c r="C18" s="15" t="n">
        <v>10000</v>
      </c>
      <c r="D18" s="16" t="n">
        <v>1.5</v>
      </c>
    </row>
    <row r="19" customFormat="false" ht="17.15" hidden="false" customHeight="false" outlineLevel="0" collapsed="false">
      <c r="A19" s="13" t="s">
        <v>46</v>
      </c>
      <c r="B19" s="17" t="s">
        <v>55</v>
      </c>
      <c r="C19" s="15" t="n">
        <v>15000</v>
      </c>
      <c r="D19" s="16" t="n">
        <v>0.3</v>
      </c>
    </row>
    <row r="20" customFormat="false" ht="17.15" hidden="false" customHeight="false" outlineLevel="0" collapsed="false">
      <c r="A20" s="13" t="s">
        <v>46</v>
      </c>
      <c r="B20" s="17" t="s">
        <v>56</v>
      </c>
      <c r="C20" s="15" t="n">
        <v>15000</v>
      </c>
      <c r="D20" s="16" t="n">
        <v>0.3</v>
      </c>
    </row>
    <row r="21" customFormat="false" ht="15" hidden="false" customHeight="false" outlineLevel="0" collapsed="false">
      <c r="A21" s="13" t="s">
        <v>46</v>
      </c>
      <c r="B21" s="14" t="s">
        <v>57</v>
      </c>
      <c r="C21" s="15" t="n">
        <v>50000</v>
      </c>
      <c r="D21" s="16" t="n">
        <v>1</v>
      </c>
    </row>
    <row r="22" customFormat="false" ht="15" hidden="false" customHeight="false" outlineLevel="0" collapsed="false">
      <c r="A22" s="13" t="s">
        <v>46</v>
      </c>
      <c r="B22" s="14" t="s">
        <v>58</v>
      </c>
      <c r="C22" s="15" t="n">
        <v>100000</v>
      </c>
      <c r="D22" s="1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0" t="s">
        <v>27</v>
      </c>
    </row>
    <row r="2" customFormat="false" ht="15" hidden="false" customHeight="false" outlineLevel="0" collapsed="false">
      <c r="A2" s="11" t="s">
        <v>59</v>
      </c>
    </row>
    <row r="3" customFormat="false" ht="26.85" hidden="false" customHeight="false" outlineLevel="0" collapsed="false">
      <c r="A3" s="18" t="s">
        <v>60</v>
      </c>
      <c r="B3" s="18" t="s">
        <v>61</v>
      </c>
      <c r="C3" s="18" t="s">
        <v>62</v>
      </c>
      <c r="D3" s="18" t="s">
        <v>63</v>
      </c>
    </row>
    <row r="4" customFormat="false" ht="17.15" hidden="false" customHeight="false" outlineLevel="0" collapsed="false">
      <c r="A4" s="19" t="s">
        <v>64</v>
      </c>
      <c r="B4" s="14" t="s">
        <v>65</v>
      </c>
      <c r="C4" s="13" t="s">
        <v>66</v>
      </c>
      <c r="D4" s="20" t="s">
        <v>67</v>
      </c>
    </row>
    <row r="5" customFormat="false" ht="17.15" hidden="false" customHeight="false" outlineLevel="0" collapsed="false">
      <c r="A5" s="19" t="s">
        <v>68</v>
      </c>
      <c r="B5" s="14" t="s">
        <v>69</v>
      </c>
      <c r="C5" s="13" t="s">
        <v>66</v>
      </c>
      <c r="D5" s="20" t="s">
        <v>70</v>
      </c>
    </row>
    <row r="6" customFormat="false" ht="17.15" hidden="false" customHeight="false" outlineLevel="0" collapsed="false">
      <c r="A6" s="19" t="s">
        <v>71</v>
      </c>
      <c r="B6" s="14" t="s">
        <v>72</v>
      </c>
      <c r="C6" s="13" t="s">
        <v>66</v>
      </c>
      <c r="D6" s="20" t="s">
        <v>73</v>
      </c>
    </row>
    <row r="7" customFormat="false" ht="17.15" hidden="false" customHeight="false" outlineLevel="0" collapsed="false">
      <c r="A7" s="19" t="s">
        <v>74</v>
      </c>
      <c r="B7" s="14" t="s">
        <v>75</v>
      </c>
      <c r="C7" s="13" t="s">
        <v>66</v>
      </c>
      <c r="D7" s="20" t="s">
        <v>76</v>
      </c>
    </row>
    <row r="8" customFormat="false" ht="17.15" hidden="false" customHeight="false" outlineLevel="0" collapsed="false">
      <c r="A8" s="19" t="s">
        <v>77</v>
      </c>
      <c r="B8" s="14" t="s">
        <v>78</v>
      </c>
      <c r="C8" s="13" t="s">
        <v>66</v>
      </c>
      <c r="D8" s="20" t="s">
        <v>79</v>
      </c>
    </row>
    <row r="9" customFormat="false" ht="17.15" hidden="false" customHeight="false" outlineLevel="0" collapsed="false">
      <c r="A9" s="19" t="s">
        <v>80</v>
      </c>
      <c r="B9" s="14" t="s">
        <v>81</v>
      </c>
      <c r="C9" s="13" t="s">
        <v>66</v>
      </c>
      <c r="D9" s="20" t="s">
        <v>82</v>
      </c>
    </row>
    <row r="10" customFormat="false" ht="17.15" hidden="false" customHeight="false" outlineLevel="0" collapsed="false">
      <c r="A10" s="19" t="s">
        <v>83</v>
      </c>
      <c r="B10" s="14" t="s">
        <v>84</v>
      </c>
      <c r="C10" s="13" t="s">
        <v>66</v>
      </c>
      <c r="D10" s="20" t="s">
        <v>85</v>
      </c>
    </row>
    <row r="11" customFormat="false" ht="17.15" hidden="false" customHeight="false" outlineLevel="0" collapsed="false">
      <c r="A11" s="19" t="s">
        <v>86</v>
      </c>
      <c r="B11" s="14" t="s">
        <v>87</v>
      </c>
      <c r="C11" s="13" t="s">
        <v>66</v>
      </c>
      <c r="D11" s="20" t="s">
        <v>88</v>
      </c>
    </row>
    <row r="12" customFormat="false" ht="17.15" hidden="false" customHeight="false" outlineLevel="0" collapsed="false">
      <c r="A12" s="19" t="s">
        <v>89</v>
      </c>
      <c r="B12" s="14" t="s">
        <v>90</v>
      </c>
      <c r="C12" s="13" t="s">
        <v>66</v>
      </c>
      <c r="D12" s="20" t="s">
        <v>91</v>
      </c>
    </row>
    <row r="13" customFormat="false" ht="17.15" hidden="false" customHeight="false" outlineLevel="0" collapsed="false">
      <c r="A13" s="19" t="s">
        <v>92</v>
      </c>
      <c r="B13" s="14" t="s">
        <v>93</v>
      </c>
      <c r="C13" s="13" t="s">
        <v>66</v>
      </c>
      <c r="D13" s="20" t="s">
        <v>94</v>
      </c>
    </row>
    <row r="14" customFormat="false" ht="17.15" hidden="false" customHeight="false" outlineLevel="0" collapsed="false">
      <c r="A14" s="19" t="s">
        <v>95</v>
      </c>
      <c r="B14" s="14" t="s">
        <v>96</v>
      </c>
      <c r="C14" s="13" t="s">
        <v>66</v>
      </c>
      <c r="D14" s="20" t="s">
        <v>97</v>
      </c>
    </row>
    <row r="15" customFormat="false" ht="17.15" hidden="false" customHeight="false" outlineLevel="0" collapsed="false">
      <c r="A15" s="19" t="s">
        <v>98</v>
      </c>
      <c r="B15" s="14" t="s">
        <v>99</v>
      </c>
      <c r="C15" s="13" t="s">
        <v>66</v>
      </c>
      <c r="D15" s="20" t="s">
        <v>100</v>
      </c>
    </row>
    <row r="16" customFormat="false" ht="17.15" hidden="false" customHeight="false" outlineLevel="0" collapsed="false">
      <c r="A16" s="19" t="s">
        <v>101</v>
      </c>
      <c r="B16" s="14" t="s">
        <v>102</v>
      </c>
      <c r="C16" s="13" t="s">
        <v>66</v>
      </c>
      <c r="D16" s="20" t="s">
        <v>103</v>
      </c>
    </row>
    <row r="17" customFormat="false" ht="17.15" hidden="false" customHeight="false" outlineLevel="0" collapsed="false">
      <c r="A17" s="19" t="s">
        <v>104</v>
      </c>
      <c r="B17" s="14" t="s">
        <v>105</v>
      </c>
      <c r="C17" s="13" t="s">
        <v>106</v>
      </c>
      <c r="D17" s="20" t="s">
        <v>107</v>
      </c>
    </row>
    <row r="18" customFormat="false" ht="17.15" hidden="false" customHeight="false" outlineLevel="0" collapsed="false">
      <c r="A18" s="19" t="s">
        <v>108</v>
      </c>
      <c r="B18" s="14" t="s">
        <v>109</v>
      </c>
      <c r="C18" s="13" t="s">
        <v>106</v>
      </c>
      <c r="D18" s="20" t="s">
        <v>110</v>
      </c>
    </row>
    <row r="19" customFormat="false" ht="17.15" hidden="false" customHeight="false" outlineLevel="0" collapsed="false">
      <c r="A19" s="19" t="s">
        <v>111</v>
      </c>
      <c r="B19" s="14" t="s">
        <v>112</v>
      </c>
      <c r="C19" s="13" t="s">
        <v>106</v>
      </c>
      <c r="D19" s="20" t="s">
        <v>113</v>
      </c>
    </row>
    <row r="20" customFormat="false" ht="17.15" hidden="false" customHeight="false" outlineLevel="0" collapsed="false">
      <c r="A20" s="19" t="s">
        <v>114</v>
      </c>
      <c r="B20" s="14" t="s">
        <v>115</v>
      </c>
      <c r="C20" s="13" t="s">
        <v>106</v>
      </c>
      <c r="D20" s="20" t="s">
        <v>116</v>
      </c>
    </row>
    <row r="21" customFormat="false" ht="17.15" hidden="false" customHeight="false" outlineLevel="0" collapsed="false">
      <c r="A21" s="19" t="s">
        <v>117</v>
      </c>
      <c r="B21" s="14" t="s">
        <v>118</v>
      </c>
      <c r="C21" s="13" t="s">
        <v>106</v>
      </c>
      <c r="D21" s="20" t="s">
        <v>119</v>
      </c>
    </row>
    <row r="22" customFormat="false" ht="17.15" hidden="false" customHeight="false" outlineLevel="0" collapsed="false">
      <c r="A22" s="19" t="s">
        <v>120</v>
      </c>
      <c r="B22" s="14" t="s">
        <v>121</v>
      </c>
      <c r="C22" s="13" t="s">
        <v>122</v>
      </c>
      <c r="D22" s="2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0" t="s">
        <v>29</v>
      </c>
    </row>
    <row r="2" customFormat="false" ht="17.15" hidden="false" customHeight="false" outlineLevel="0" collapsed="false">
      <c r="A2" s="11" t="s">
        <v>124</v>
      </c>
    </row>
    <row r="3" customFormat="false" ht="26.85" hidden="false" customHeight="false" outlineLevel="0" collapsed="false">
      <c r="A3" s="18" t="s">
        <v>125</v>
      </c>
      <c r="B3" s="18" t="s">
        <v>126</v>
      </c>
    </row>
    <row r="4" customFormat="false" ht="15" hidden="false" customHeight="false" outlineLevel="0" collapsed="false">
      <c r="A4" s="13" t="s">
        <v>127</v>
      </c>
      <c r="B4" s="14" t="s">
        <v>128</v>
      </c>
    </row>
    <row r="5" customFormat="false" ht="15" hidden="false" customHeight="false" outlineLevel="0" collapsed="false">
      <c r="A5" s="13" t="s">
        <v>127</v>
      </c>
      <c r="B5" s="14" t="s">
        <v>129</v>
      </c>
    </row>
    <row r="6" customFormat="false" ht="15" hidden="false" customHeight="false" outlineLevel="0" collapsed="false">
      <c r="A6" s="13" t="s">
        <v>127</v>
      </c>
      <c r="B6" s="14" t="s">
        <v>130</v>
      </c>
    </row>
    <row r="7" customFormat="false" ht="15" hidden="false" customHeight="false" outlineLevel="0" collapsed="false">
      <c r="A7" s="13" t="s">
        <v>127</v>
      </c>
      <c r="B7" s="14" t="s">
        <v>131</v>
      </c>
    </row>
    <row r="8" customFormat="false" ht="15" hidden="false" customHeight="false" outlineLevel="0" collapsed="false">
      <c r="A8" s="13" t="s">
        <v>127</v>
      </c>
      <c r="B8" s="14" t="s">
        <v>132</v>
      </c>
    </row>
    <row r="9" customFormat="false" ht="15" hidden="false" customHeight="false" outlineLevel="0" collapsed="false">
      <c r="A9" s="13" t="s">
        <v>127</v>
      </c>
      <c r="B9" s="14" t="s">
        <v>133</v>
      </c>
    </row>
    <row r="10" customFormat="false" ht="15" hidden="false" customHeight="false" outlineLevel="0" collapsed="false">
      <c r="A10" s="13" t="s">
        <v>127</v>
      </c>
      <c r="B10" s="14" t="s">
        <v>134</v>
      </c>
    </row>
    <row r="11" customFormat="false" ht="15" hidden="false" customHeight="false" outlineLevel="0" collapsed="false">
      <c r="A11" s="13" t="s">
        <v>127</v>
      </c>
      <c r="B11" s="14" t="s">
        <v>135</v>
      </c>
    </row>
    <row r="12" customFormat="false" ht="15" hidden="false" customHeight="false" outlineLevel="0" collapsed="false">
      <c r="A12" s="13" t="s">
        <v>127</v>
      </c>
      <c r="B12" s="14" t="s">
        <v>136</v>
      </c>
    </row>
    <row r="13" customFormat="false" ht="15" hidden="false" customHeight="false" outlineLevel="0" collapsed="false">
      <c r="A13" s="13" t="s">
        <v>127</v>
      </c>
      <c r="B13" s="14" t="s">
        <v>137</v>
      </c>
    </row>
    <row r="14" customFormat="false" ht="15" hidden="false" customHeight="false" outlineLevel="0" collapsed="false">
      <c r="A14" s="13" t="s">
        <v>127</v>
      </c>
      <c r="B14" s="14" t="s">
        <v>138</v>
      </c>
    </row>
    <row r="15" customFormat="false" ht="15" hidden="false" customHeight="false" outlineLevel="0" collapsed="false">
      <c r="A15" s="13" t="s">
        <v>127</v>
      </c>
      <c r="B15" s="14" t="s">
        <v>139</v>
      </c>
    </row>
    <row r="16" customFormat="false" ht="15" hidden="false" customHeight="false" outlineLevel="0" collapsed="false">
      <c r="A16" s="13" t="s">
        <v>127</v>
      </c>
      <c r="B16" s="14" t="s">
        <v>140</v>
      </c>
    </row>
    <row r="17" customFormat="false" ht="15" hidden="false" customHeight="false" outlineLevel="0" collapsed="false">
      <c r="A17" s="13" t="s">
        <v>141</v>
      </c>
      <c r="B17" s="14" t="s">
        <v>142</v>
      </c>
    </row>
    <row r="18" customFormat="false" ht="15" hidden="false" customHeight="false" outlineLevel="0" collapsed="false">
      <c r="A18" s="13" t="s">
        <v>141</v>
      </c>
      <c r="B18" s="14" t="s">
        <v>143</v>
      </c>
    </row>
    <row r="19" customFormat="false" ht="15" hidden="false" customHeight="false" outlineLevel="0" collapsed="false">
      <c r="A19" s="13" t="s">
        <v>141</v>
      </c>
      <c r="B19" s="14" t="s">
        <v>144</v>
      </c>
    </row>
    <row r="20" customFormat="false" ht="15" hidden="false" customHeight="false" outlineLevel="0" collapsed="false">
      <c r="A20" s="13" t="s">
        <v>141</v>
      </c>
      <c r="B20" s="14" t="s">
        <v>145</v>
      </c>
    </row>
    <row r="21" customFormat="false" ht="15" hidden="false" customHeight="false" outlineLevel="0" collapsed="false">
      <c r="A21" s="13" t="s">
        <v>141</v>
      </c>
      <c r="B21" s="14" t="s">
        <v>146</v>
      </c>
    </row>
    <row r="22" customFormat="false" ht="15" hidden="false" customHeight="false" outlineLevel="0" collapsed="false">
      <c r="A22" s="13" t="s">
        <v>141</v>
      </c>
      <c r="B22" s="14" t="s">
        <v>147</v>
      </c>
    </row>
    <row r="23" customFormat="false" ht="15" hidden="false" customHeight="false" outlineLevel="0" collapsed="false">
      <c r="A23" s="13" t="s">
        <v>141</v>
      </c>
      <c r="B23" s="14" t="s">
        <v>148</v>
      </c>
    </row>
    <row r="24" customFormat="false" ht="15" hidden="false" customHeight="false" outlineLevel="0" collapsed="false">
      <c r="A24" s="13" t="s">
        <v>141</v>
      </c>
      <c r="B24" s="14" t="s">
        <v>149</v>
      </c>
    </row>
    <row r="25" customFormat="false" ht="15" hidden="false" customHeight="false" outlineLevel="0" collapsed="false">
      <c r="A25" s="13" t="s">
        <v>141</v>
      </c>
      <c r="B25" s="14" t="s">
        <v>150</v>
      </c>
    </row>
    <row r="26" customFormat="false" ht="15" hidden="false" customHeight="false" outlineLevel="0" collapsed="false">
      <c r="A26" s="13" t="s">
        <v>141</v>
      </c>
      <c r="B26" s="14" t="s">
        <v>151</v>
      </c>
    </row>
    <row r="27" customFormat="false" ht="15" hidden="false" customHeight="false" outlineLevel="0" collapsed="false">
      <c r="A27" s="13" t="s">
        <v>152</v>
      </c>
      <c r="B27" s="17" t="s">
        <v>153</v>
      </c>
    </row>
    <row r="28" customFormat="false" ht="15" hidden="false" customHeight="false" outlineLevel="0" collapsed="false">
      <c r="A28" s="13" t="s">
        <v>152</v>
      </c>
      <c r="B28" s="14" t="s">
        <v>154</v>
      </c>
    </row>
    <row r="29" customFormat="false" ht="15" hidden="false" customHeight="false" outlineLevel="0" collapsed="false">
      <c r="A29" s="13" t="s">
        <v>152</v>
      </c>
      <c r="B29" s="14" t="s">
        <v>155</v>
      </c>
    </row>
    <row r="30" customFormat="false" ht="15" hidden="false" customHeight="false" outlineLevel="0" collapsed="false">
      <c r="A30" s="13" t="s">
        <v>156</v>
      </c>
      <c r="B30" s="14" t="s">
        <v>157</v>
      </c>
    </row>
    <row r="31" customFormat="false" ht="15" hidden="false" customHeight="false" outlineLevel="0" collapsed="false">
      <c r="A31" s="13" t="s">
        <v>158</v>
      </c>
      <c r="B31" s="14" t="s">
        <v>159</v>
      </c>
    </row>
    <row r="32" customFormat="false" ht="15" hidden="false" customHeight="false" outlineLevel="0" collapsed="false">
      <c r="A32" s="13" t="s">
        <v>158</v>
      </c>
      <c r="B32" s="14" t="s">
        <v>160</v>
      </c>
    </row>
    <row r="33" customFormat="false" ht="15" hidden="false" customHeight="false" outlineLevel="0" collapsed="false">
      <c r="A33" s="13" t="s">
        <v>158</v>
      </c>
      <c r="B33" s="14" t="s">
        <v>161</v>
      </c>
    </row>
    <row r="34" customFormat="false" ht="15" hidden="false" customHeight="false" outlineLevel="0" collapsed="false">
      <c r="A34" s="13" t="s">
        <v>158</v>
      </c>
      <c r="B34" s="14" t="s">
        <v>162</v>
      </c>
    </row>
    <row r="35" customFormat="false" ht="15" hidden="false" customHeight="false" outlineLevel="0" collapsed="false">
      <c r="A35" s="13" t="s">
        <v>163</v>
      </c>
      <c r="B35" s="14" t="s">
        <v>164</v>
      </c>
    </row>
    <row r="36" customFormat="false" ht="15" hidden="false" customHeight="false" outlineLevel="0" collapsed="false">
      <c r="A36" s="13" t="s">
        <v>163</v>
      </c>
      <c r="B36" s="14" t="s">
        <v>165</v>
      </c>
    </row>
    <row r="37" customFormat="false" ht="15" hidden="false" customHeight="false" outlineLevel="0" collapsed="false">
      <c r="A37" s="13" t="s">
        <v>163</v>
      </c>
      <c r="B37" s="14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6" min="5" style="1" width="2"/>
    <col collapsed="false" customWidth="true" hidden="false" outlineLevel="0" max="7" min="7" style="1" width="20"/>
    <col collapsed="false" customWidth="true" hidden="false" outlineLevel="0" max="9" min="8" style="1" width="14"/>
    <col collapsed="false" customWidth="true" hidden="false" outlineLevel="0" max="10" min="10" style="1" width="13"/>
    <col collapsed="false" customWidth="true" hidden="false" outlineLevel="0" max="11" min="11" style="1" width="16"/>
    <col collapsed="false" customWidth="true" hidden="false" outlineLevel="0" max="13" min="12" style="1" width="14"/>
    <col collapsed="false" customWidth="true" hidden="false" outlineLevel="0" max="14" min="14" style="1" width="12"/>
  </cols>
  <sheetData>
    <row r="1" customFormat="false" ht="17.25" hidden="false" customHeight="true" outlineLevel="0" collapsed="false">
      <c r="A1" s="21" t="s">
        <v>167</v>
      </c>
    </row>
    <row r="2" customFormat="false" ht="15" hidden="false" customHeight="true" outlineLevel="0" collapsed="false">
      <c r="A2" s="22" t="s">
        <v>168</v>
      </c>
    </row>
    <row r="3" customFormat="false" ht="32.25" hidden="false" customHeight="true" outlineLevel="0" collapsed="false">
      <c r="A3" s="23" t="s">
        <v>32</v>
      </c>
      <c r="B3" s="23" t="s">
        <v>33</v>
      </c>
      <c r="C3" s="23" t="s">
        <v>169</v>
      </c>
      <c r="D3" s="23" t="s">
        <v>170</v>
      </c>
      <c r="G3" s="24" t="s">
        <v>171</v>
      </c>
      <c r="H3" s="24" t="s">
        <v>172</v>
      </c>
      <c r="I3" s="24" t="s">
        <v>173</v>
      </c>
      <c r="J3" s="24" t="s">
        <v>174</v>
      </c>
      <c r="K3" s="24" t="s">
        <v>175</v>
      </c>
      <c r="L3" s="24" t="s">
        <v>176</v>
      </c>
      <c r="M3" s="24" t="s">
        <v>177</v>
      </c>
      <c r="N3" s="24" t="s">
        <v>178</v>
      </c>
    </row>
    <row r="4" customFormat="false" ht="16.5" hidden="false" customHeight="true" outlineLevel="0" collapsed="false">
      <c r="A4" s="25" t="s">
        <v>40</v>
      </c>
      <c r="B4" s="6" t="s">
        <v>179</v>
      </c>
      <c r="C4" s="26" t="n">
        <v>150000</v>
      </c>
      <c r="D4" s="27" t="n">
        <v>8</v>
      </c>
      <c r="G4" s="28" t="s">
        <v>180</v>
      </c>
      <c r="H4" s="28" t="s">
        <v>181</v>
      </c>
      <c r="I4" s="28" t="s">
        <v>182</v>
      </c>
      <c r="J4" s="28" t="s">
        <v>183</v>
      </c>
      <c r="K4" s="28" t="s">
        <v>184</v>
      </c>
      <c r="L4" s="28" t="s">
        <v>185</v>
      </c>
      <c r="M4" s="28" t="s">
        <v>186</v>
      </c>
      <c r="N4" s="28" t="s">
        <v>187</v>
      </c>
    </row>
    <row r="5" customFormat="false" ht="16.5" hidden="false" customHeight="true" outlineLevel="0" collapsed="false">
      <c r="A5" s="25" t="s">
        <v>181</v>
      </c>
      <c r="B5" s="6" t="s">
        <v>188</v>
      </c>
      <c r="C5" s="26" t="n">
        <v>60000</v>
      </c>
      <c r="D5" s="27" t="n">
        <v>16</v>
      </c>
      <c r="G5" s="28" t="s">
        <v>189</v>
      </c>
      <c r="H5" s="28" t="s">
        <v>42</v>
      </c>
      <c r="I5" s="28" t="s">
        <v>190</v>
      </c>
      <c r="J5" s="28" t="s">
        <v>191</v>
      </c>
      <c r="K5" s="28" t="s">
        <v>192</v>
      </c>
      <c r="L5" s="28" t="s">
        <v>193</v>
      </c>
      <c r="M5" s="28" t="s">
        <v>194</v>
      </c>
      <c r="N5" s="28" t="s">
        <v>195</v>
      </c>
    </row>
    <row r="6" customFormat="false" ht="16.5" hidden="false" customHeight="true" outlineLevel="0" collapsed="false">
      <c r="A6" s="25" t="s">
        <v>181</v>
      </c>
      <c r="B6" s="6" t="s">
        <v>196</v>
      </c>
      <c r="C6" s="26" t="n">
        <v>100000</v>
      </c>
      <c r="D6" s="27" t="n">
        <v>32</v>
      </c>
      <c r="G6" s="28" t="s">
        <v>69</v>
      </c>
      <c r="I6" s="28" t="s">
        <v>197</v>
      </c>
      <c r="J6" s="28" t="s">
        <v>198</v>
      </c>
      <c r="K6" s="28" t="s">
        <v>199</v>
      </c>
      <c r="L6" s="28" t="s">
        <v>200</v>
      </c>
      <c r="M6" s="28" t="s">
        <v>201</v>
      </c>
    </row>
    <row r="7" customFormat="false" ht="16.5" hidden="false" customHeight="true" outlineLevel="0" collapsed="false">
      <c r="A7" s="25" t="s">
        <v>181</v>
      </c>
      <c r="B7" s="6" t="s">
        <v>202</v>
      </c>
      <c r="C7" s="26" t="n">
        <v>160000</v>
      </c>
      <c r="D7" s="27" t="n">
        <v>48</v>
      </c>
      <c r="G7" s="28" t="s">
        <v>203</v>
      </c>
      <c r="I7" s="28" t="s">
        <v>204</v>
      </c>
      <c r="K7" s="28" t="s">
        <v>205</v>
      </c>
      <c r="L7" s="28" t="s">
        <v>206</v>
      </c>
    </row>
    <row r="8" customFormat="false" ht="16.5" hidden="false" customHeight="true" outlineLevel="0" collapsed="false">
      <c r="A8" s="25" t="s">
        <v>207</v>
      </c>
      <c r="B8" s="6" t="s">
        <v>208</v>
      </c>
      <c r="C8" s="26" t="n">
        <v>12000</v>
      </c>
      <c r="D8" s="27" t="n">
        <v>4</v>
      </c>
      <c r="G8" s="29" t="s">
        <v>209</v>
      </c>
      <c r="I8" s="28" t="s">
        <v>191</v>
      </c>
    </row>
    <row r="9" customFormat="false" ht="16.5" hidden="false" customHeight="true" outlineLevel="0" collapsed="false">
      <c r="A9" s="25" t="s">
        <v>207</v>
      </c>
      <c r="B9" s="6" t="s">
        <v>210</v>
      </c>
      <c r="C9" s="26" t="n">
        <v>10000</v>
      </c>
      <c r="D9" s="27" t="n">
        <v>4</v>
      </c>
      <c r="G9" s="29" t="s">
        <v>211</v>
      </c>
    </row>
    <row r="10" customFormat="false" ht="16.5" hidden="false" customHeight="true" outlineLevel="0" collapsed="false">
      <c r="A10" s="25" t="s">
        <v>207</v>
      </c>
      <c r="B10" s="6" t="s">
        <v>212</v>
      </c>
      <c r="C10" s="26" t="n">
        <v>9000</v>
      </c>
      <c r="D10" s="27" t="n">
        <v>4</v>
      </c>
      <c r="G10" s="28" t="s">
        <v>85</v>
      </c>
    </row>
    <row r="11" customFormat="false" ht="15" hidden="false" customHeight="true" outlineLevel="0" collapsed="false">
      <c r="A11" s="25" t="s">
        <v>42</v>
      </c>
      <c r="B11" s="6" t="s">
        <v>213</v>
      </c>
      <c r="C11" s="26" t="n">
        <v>200000</v>
      </c>
      <c r="D11" s="27" t="n">
        <v>30</v>
      </c>
      <c r="G11" s="28" t="s">
        <v>214</v>
      </c>
    </row>
    <row r="12" customFormat="false" ht="15" hidden="false" customHeight="true" outlineLevel="0" collapsed="false">
      <c r="A12" s="25" t="s">
        <v>42</v>
      </c>
      <c r="B12" s="6" t="s">
        <v>215</v>
      </c>
      <c r="C12" s="26" t="n">
        <v>150000</v>
      </c>
      <c r="D12" s="27" t="n">
        <v>24</v>
      </c>
      <c r="G12" s="28" t="s">
        <v>216</v>
      </c>
    </row>
    <row r="13" customFormat="false" ht="15" hidden="false" customHeight="true" outlineLevel="0" collapsed="false">
      <c r="A13" s="25" t="s">
        <v>42</v>
      </c>
      <c r="B13" s="6" t="s">
        <v>217</v>
      </c>
      <c r="C13" s="26" t="n">
        <v>100000</v>
      </c>
      <c r="D13" s="27" t="n">
        <v>18</v>
      </c>
      <c r="G13" s="28" t="s">
        <v>218</v>
      </c>
    </row>
    <row r="14" customFormat="false" ht="16.5" hidden="false" customHeight="true" outlineLevel="0" collapsed="false">
      <c r="A14" s="25" t="s">
        <v>42</v>
      </c>
      <c r="B14" s="6" t="s">
        <v>219</v>
      </c>
      <c r="C14" s="26" t="n">
        <v>50000</v>
      </c>
      <c r="D14" s="27" t="n">
        <v>10</v>
      </c>
      <c r="G14" s="28" t="s">
        <v>87</v>
      </c>
    </row>
    <row r="15" customFormat="false" ht="16.5" hidden="false" customHeight="true" outlineLevel="0" collapsed="false">
      <c r="A15" s="25" t="s">
        <v>42</v>
      </c>
      <c r="B15" s="6" t="s">
        <v>220</v>
      </c>
      <c r="C15" s="26" t="n">
        <v>20000</v>
      </c>
      <c r="D15" s="27" t="n">
        <v>4</v>
      </c>
      <c r="G15" s="28" t="s">
        <v>221</v>
      </c>
    </row>
    <row r="16" customFormat="false" ht="15" hidden="false" customHeight="true" outlineLevel="0" collapsed="false">
      <c r="A16" s="25" t="s">
        <v>42</v>
      </c>
      <c r="B16" s="6" t="s">
        <v>222</v>
      </c>
      <c r="C16" s="26" t="n">
        <v>30000</v>
      </c>
      <c r="D16" s="27" t="n">
        <v>5</v>
      </c>
      <c r="G16" s="29" t="s">
        <v>153</v>
      </c>
    </row>
    <row r="17" customFormat="false" ht="15" hidden="false" customHeight="true" outlineLevel="0" collapsed="false">
      <c r="A17" s="25" t="s">
        <v>42</v>
      </c>
      <c r="B17" s="6" t="s">
        <v>223</v>
      </c>
      <c r="C17" s="26" t="n">
        <v>80000</v>
      </c>
      <c r="D17" s="27" t="n">
        <v>12</v>
      </c>
      <c r="G17" s="28" t="s">
        <v>154</v>
      </c>
    </row>
    <row r="18" customFormat="false" ht="16.5" hidden="false" customHeight="true" outlineLevel="0" collapsed="false">
      <c r="A18" s="25" t="s">
        <v>224</v>
      </c>
      <c r="B18" s="6" t="s">
        <v>225</v>
      </c>
      <c r="C18" s="26" t="n">
        <v>2000</v>
      </c>
      <c r="D18" s="27" t="n">
        <v>0.5</v>
      </c>
      <c r="G18" s="28" t="s">
        <v>150</v>
      </c>
    </row>
    <row r="19" customFormat="false" ht="16.5" hidden="false" customHeight="true" outlineLevel="0" collapsed="false">
      <c r="A19" s="25" t="s">
        <v>224</v>
      </c>
      <c r="B19" s="6" t="s">
        <v>226</v>
      </c>
      <c r="C19" s="26" t="n">
        <v>10000</v>
      </c>
      <c r="D19" s="27" t="n">
        <v>0</v>
      </c>
      <c r="G19" s="28" t="s">
        <v>227</v>
      </c>
    </row>
    <row r="20" customFormat="false" ht="16.5" hidden="false" customHeight="true" outlineLevel="0" collapsed="false">
      <c r="A20" s="25" t="s">
        <v>224</v>
      </c>
      <c r="B20" s="6" t="s">
        <v>228</v>
      </c>
      <c r="C20" s="26" t="n">
        <v>10000</v>
      </c>
      <c r="D20" s="27" t="n">
        <v>0</v>
      </c>
      <c r="G20" s="28" t="s">
        <v>105</v>
      </c>
    </row>
    <row r="21" customFormat="false" ht="16.5" hidden="false" customHeight="true" outlineLevel="0" collapsed="false">
      <c r="A21" s="25" t="s">
        <v>224</v>
      </c>
      <c r="B21" s="6" t="s">
        <v>229</v>
      </c>
      <c r="C21" s="26" t="n">
        <v>15000</v>
      </c>
      <c r="D21" s="27" t="n">
        <v>3</v>
      </c>
      <c r="G21" s="28" t="s">
        <v>109</v>
      </c>
    </row>
    <row r="22" customFormat="false" ht="16.5" hidden="false" customHeight="true" outlineLevel="0" collapsed="false">
      <c r="A22" s="25" t="s">
        <v>224</v>
      </c>
      <c r="B22" s="6" t="s">
        <v>230</v>
      </c>
      <c r="C22" s="26" t="n">
        <v>5000</v>
      </c>
      <c r="D22" s="27" t="n">
        <v>1.5</v>
      </c>
      <c r="G22" s="28" t="s">
        <v>116</v>
      </c>
    </row>
    <row r="23" customFormat="false" ht="16.5" hidden="false" customHeight="true" outlineLevel="0" collapsed="false">
      <c r="A23" s="25" t="s">
        <v>231</v>
      </c>
      <c r="B23" s="17" t="s">
        <v>232</v>
      </c>
      <c r="C23" s="26" t="n">
        <v>15000</v>
      </c>
      <c r="D23" s="27" t="n">
        <v>0.3</v>
      </c>
      <c r="G23" s="28" t="s">
        <v>118</v>
      </c>
    </row>
    <row r="24" customFormat="false" ht="15" hidden="false" customHeight="true" outlineLevel="0" collapsed="false">
      <c r="A24" s="25" t="s">
        <v>231</v>
      </c>
      <c r="B24" s="6" t="s">
        <v>233</v>
      </c>
      <c r="C24" s="26" t="n">
        <v>50000</v>
      </c>
      <c r="D24" s="27" t="n">
        <v>1</v>
      </c>
    </row>
    <row r="25" customFormat="false" ht="16.5" hidden="false" customHeight="true" outlineLevel="0" collapsed="false">
      <c r="A25" s="25" t="s">
        <v>231</v>
      </c>
      <c r="B25" s="6" t="s">
        <v>234</v>
      </c>
      <c r="C25" s="26" t="n">
        <v>100000</v>
      </c>
      <c r="D25" s="27" t="n">
        <v>0</v>
      </c>
    </row>
    <row r="26" customFormat="false" ht="16.5" hidden="false" customHeight="true" outlineLevel="0" collapsed="false">
      <c r="A26" s="25" t="s">
        <v>235</v>
      </c>
      <c r="B26" s="6" t="s">
        <v>236</v>
      </c>
      <c r="C26" s="26" t="n">
        <v>4000</v>
      </c>
      <c r="D26" s="27" t="n">
        <v>1</v>
      </c>
    </row>
    <row r="27" customFormat="false" ht="15" hidden="false" customHeight="true" outlineLevel="0" collapsed="false">
      <c r="A27" s="25" t="s">
        <v>235</v>
      </c>
      <c r="B27" s="6" t="s">
        <v>237</v>
      </c>
      <c r="C27" s="26" t="n">
        <v>9000</v>
      </c>
      <c r="D27" s="27" t="n">
        <v>1</v>
      </c>
    </row>
    <row r="29" customFormat="false" ht="15" hidden="false" customHeight="true" outlineLevel="0" collapsed="false">
      <c r="A29" s="30" t="s">
        <v>238</v>
      </c>
      <c r="B29" s="31" t="n">
        <v>0.1</v>
      </c>
    </row>
    <row r="30" customFormat="false" ht="16.5" hidden="false" customHeight="true" outlineLevel="0" collapsed="false">
      <c r="A30" s="30" t="s">
        <v>239</v>
      </c>
      <c r="B30" s="31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1" t="s">
        <v>240</v>
      </c>
    </row>
    <row r="2" customFormat="false" ht="16.5" hidden="false" customHeight="true" outlineLevel="0" collapsed="false">
      <c r="A2" s="22" t="s">
        <v>241</v>
      </c>
    </row>
    <row r="3" customFormat="false" ht="16.5" hidden="false" customHeight="true" outlineLevel="0" collapsed="false">
      <c r="A3" s="23" t="s">
        <v>242</v>
      </c>
      <c r="B3" s="23" t="s">
        <v>243</v>
      </c>
      <c r="C3" s="23" t="s">
        <v>244</v>
      </c>
      <c r="D3" s="23" t="s">
        <v>245</v>
      </c>
      <c r="E3" s="23" t="s">
        <v>177</v>
      </c>
      <c r="F3" s="23" t="s">
        <v>246</v>
      </c>
      <c r="G3" s="23" t="s">
        <v>247</v>
      </c>
      <c r="H3" s="23" t="s">
        <v>248</v>
      </c>
      <c r="I3" s="23" t="s">
        <v>249</v>
      </c>
      <c r="J3" s="23" t="s">
        <v>250</v>
      </c>
    </row>
    <row r="4" customFormat="false" ht="15" hidden="false" customHeight="true" outlineLevel="0" collapsed="false">
      <c r="A4" s="19" t="s">
        <v>251</v>
      </c>
      <c r="B4" s="6" t="s">
        <v>252</v>
      </c>
      <c r="C4" s="6" t="s">
        <v>253</v>
      </c>
      <c r="D4" s="17" t="s">
        <v>254</v>
      </c>
      <c r="E4" s="28" t="s">
        <v>194</v>
      </c>
      <c r="F4" s="26" t="n">
        <v>100000</v>
      </c>
      <c r="G4" s="32" t="n">
        <v>46113</v>
      </c>
      <c r="H4" s="19" t="n">
        <v>6</v>
      </c>
      <c r="I4" s="33" t="s">
        <v>185</v>
      </c>
      <c r="J4" s="6" t="s">
        <v>255</v>
      </c>
    </row>
    <row r="5" customFormat="false" ht="15" hidden="false" customHeight="true" outlineLevel="0" collapsed="false">
      <c r="A5" s="19" t="s">
        <v>256</v>
      </c>
      <c r="B5" s="6" t="s">
        <v>257</v>
      </c>
      <c r="C5" s="6" t="s">
        <v>258</v>
      </c>
      <c r="D5" s="17" t="s">
        <v>259</v>
      </c>
      <c r="E5" s="28" t="s">
        <v>186</v>
      </c>
      <c r="F5" s="26" t="n">
        <v>60000</v>
      </c>
      <c r="G5" s="32" t="n">
        <v>46143</v>
      </c>
      <c r="H5" s="19" t="n">
        <v>6</v>
      </c>
      <c r="I5" s="33" t="s">
        <v>185</v>
      </c>
      <c r="J5" s="6" t="s">
        <v>260</v>
      </c>
    </row>
    <row r="6" customFormat="false" ht="15" hidden="false" customHeight="true" outlineLevel="0" collapsed="false">
      <c r="A6" s="19" t="s">
        <v>261</v>
      </c>
      <c r="B6" s="6" t="s">
        <v>262</v>
      </c>
      <c r="C6" s="6" t="s">
        <v>263</v>
      </c>
      <c r="D6" s="17" t="s">
        <v>264</v>
      </c>
      <c r="E6" s="28" t="s">
        <v>201</v>
      </c>
      <c r="F6" s="26" t="n">
        <v>160000</v>
      </c>
      <c r="G6" s="32" t="n">
        <v>46096</v>
      </c>
      <c r="H6" s="19" t="n">
        <v>6</v>
      </c>
      <c r="I6" s="33" t="s">
        <v>185</v>
      </c>
      <c r="J6" s="6" t="s">
        <v>265</v>
      </c>
    </row>
    <row r="7" customFormat="false" ht="15" hidden="false" customHeight="true" outlineLevel="0" collapsed="false">
      <c r="A7" s="19" t="s">
        <v>266</v>
      </c>
      <c r="B7" s="6" t="s">
        <v>267</v>
      </c>
      <c r="C7" s="6" t="s">
        <v>268</v>
      </c>
      <c r="D7" s="17" t="s">
        <v>269</v>
      </c>
      <c r="E7" s="28" t="s">
        <v>186</v>
      </c>
      <c r="F7" s="26" t="n">
        <v>60000</v>
      </c>
      <c r="G7" s="32"/>
      <c r="H7" s="19" t="n">
        <v>6</v>
      </c>
      <c r="I7" s="33" t="s">
        <v>193</v>
      </c>
      <c r="J7" s="6" t="s">
        <v>270</v>
      </c>
    </row>
    <row r="8" customFormat="false" ht="15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customFormat="false" ht="1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1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tru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7" customFormat="false" ht="15" hidden="false" customHeight="true" outlineLevel="0" collapsed="false">
      <c r="A17" s="34" t="s">
        <v>271</v>
      </c>
      <c r="F17" s="35" t="n">
        <f aca="false">SUMIFS(F4:F15,I4:I15,"継続")</f>
        <v>320000</v>
      </c>
    </row>
  </sheetData>
  <dataValidations count="2">
    <dataValidation allowBlank="true" errorStyle="stop" operator="between" showDropDown="false" showErrorMessage="false" showInputMessage="false" sqref="E4:E15" type="list">
      <formula1>料金マスタ!$M$4:$M$6</formula1>
      <formula2>0</formula2>
    </dataValidation>
    <dataValidation allowBlank="true" errorStyle="stop" operator="between" showDropDown="false" showErrorMessage="false" showInputMessage="false" sqref="I4:I15" type="list">
      <formula1>料金マスタ!$L$4:$L$7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4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1" t="s">
        <v>272</v>
      </c>
    </row>
    <row r="3" customFormat="false" ht="16.5" hidden="false" customHeight="true" outlineLevel="0" collapsed="false">
      <c r="A3" s="30" t="s">
        <v>242</v>
      </c>
      <c r="B3" s="36" t="s">
        <v>251</v>
      </c>
      <c r="C3" s="37" t="s">
        <v>243</v>
      </c>
      <c r="F3" s="38" t="str">
        <f aca="false">IFERROR(VLOOKUP($B$3,顧客マスタ!$A$4:$F$15,2,FALSE()),"")</f>
        <v>パーラー〇〇 本店</v>
      </c>
    </row>
    <row r="4" customFormat="false" ht="15" hidden="false" customHeight="true" outlineLevel="0" collapsed="false">
      <c r="A4" s="30" t="s">
        <v>273</v>
      </c>
      <c r="B4" s="36" t="s">
        <v>274</v>
      </c>
      <c r="C4" s="37" t="s">
        <v>275</v>
      </c>
      <c r="F4" s="39" t="n">
        <v>46194</v>
      </c>
    </row>
    <row r="6" customFormat="false" ht="16.5" hidden="false" customHeight="true" outlineLevel="0" collapsed="false">
      <c r="A6" s="23" t="s">
        <v>276</v>
      </c>
      <c r="B6" s="23" t="s">
        <v>277</v>
      </c>
      <c r="C6" s="23" t="s">
        <v>34</v>
      </c>
      <c r="D6" s="23" t="s">
        <v>278</v>
      </c>
    </row>
    <row r="7" customFormat="false" ht="16.5" hidden="false" customHeight="true" outlineLevel="0" collapsed="false">
      <c r="A7" s="40" t="s">
        <v>43</v>
      </c>
      <c r="B7" s="41" t="n">
        <v>1</v>
      </c>
      <c r="C7" s="42" t="n">
        <f aca="false">IF($A7="","",IFERROR(VLOOKUP($A7,Pricing_Master!$B$4:$D$22,2,FALSE()),0))</f>
        <v>50000</v>
      </c>
      <c r="D7" s="43" t="n">
        <f aca="false">IF($A7="","",IFERROR(VLOOKUP($A7,Pricing_Master!$B$4:$D$22,2,FALSE())*$B7,0))</f>
        <v>50000</v>
      </c>
    </row>
    <row r="8" customFormat="false" ht="16.5" hidden="false" customHeight="true" outlineLevel="0" collapsed="false">
      <c r="A8" s="40" t="s">
        <v>47</v>
      </c>
      <c r="B8" s="41" t="n">
        <v>4</v>
      </c>
      <c r="C8" s="42" t="n">
        <f aca="false">IF($A8="","",IFERROR(VLOOKUP($A8,Pricing_Master!$B$4:$D$22,2,FALSE()),0))</f>
        <v>2000</v>
      </c>
      <c r="D8" s="43" t="n">
        <f aca="false">IF($A8="","",IFERROR(VLOOKUP($A8,Pricing_Master!$B$4:$D$22,2,FALSE())*$B8,0))</f>
        <v>8000</v>
      </c>
    </row>
    <row r="9" customFormat="false" ht="16.5" hidden="false" customHeight="true" outlineLevel="0" collapsed="false">
      <c r="A9" s="44" t="s">
        <v>279</v>
      </c>
      <c r="B9" s="41" t="n">
        <v>2</v>
      </c>
      <c r="C9" s="42" t="n">
        <f aca="false">IF($A9="","",IFERROR(VLOOKUP($A9,Pricing_Master!$B$4:$D$22,2,FALSE()),0))</f>
        <v>15000</v>
      </c>
      <c r="D9" s="43" t="n">
        <f aca="false">IF($A9="","",IFERROR(VLOOKUP($A9,Pricing_Master!$B$4:$D$22,2,FALSE())*$B9,0))</f>
        <v>30000</v>
      </c>
    </row>
    <row r="10" customFormat="false" ht="16.5" hidden="false" customHeight="true" outlineLevel="0" collapsed="false">
      <c r="A10" s="40" t="s">
        <v>280</v>
      </c>
      <c r="B10" s="41" t="n">
        <v>1</v>
      </c>
      <c r="C10" s="42" t="n">
        <f aca="false">IF($A10="","",IFERROR(VLOOKUP($A10,Pricing_Master!$B$4:$D$22,2,FALSE()),0))</f>
        <v>4000</v>
      </c>
      <c r="D10" s="43" t="n">
        <f aca="false">IF($A10="","",IFERROR(VLOOKUP($A10,Pricing_Master!$B$4:$D$22,2,FALSE())*$B10,0))</f>
        <v>4000</v>
      </c>
    </row>
    <row r="11" customFormat="false" ht="15" hidden="false" customHeight="true" outlineLevel="0" collapsed="false">
      <c r="A11" s="44"/>
      <c r="B11" s="41"/>
      <c r="C11" s="42" t="str">
        <f aca="false">IF($A11="","",IFERROR(VLOOKUP($A11,Pricing_Master!$B$4:$D$22,2,FALSE()),0))</f>
        <v/>
      </c>
      <c r="D11" s="43" t="str">
        <f aca="false">IF($A11="","",IFERROR(VLOOKUP($A11,Pricing_Master!$B$4:$D$22,2,FALSE())*$B11,0))</f>
        <v/>
      </c>
    </row>
    <row r="12" customFormat="false" ht="15" hidden="false" customHeight="true" outlineLevel="0" collapsed="false">
      <c r="A12" s="44"/>
      <c r="B12" s="41"/>
      <c r="C12" s="42" t="str">
        <f aca="false">IF($A12="","",IFERROR(VLOOKUP($A12,Pricing_Master!$B$4:$D$22,2,FALSE()),0))</f>
        <v/>
      </c>
      <c r="D12" s="43" t="str">
        <f aca="false">IF($A12="","",IFERROR(VLOOKUP($A12,Pricing_Master!$B$4:$D$22,2,FALSE())*$B12,0))</f>
        <v/>
      </c>
    </row>
    <row r="13" customFormat="false" ht="15" hidden="false" customHeight="true" outlineLevel="0" collapsed="false">
      <c r="A13" s="44"/>
      <c r="B13" s="41"/>
      <c r="C13" s="42" t="str">
        <f aca="false">IF($A13="","",IFERROR(VLOOKUP($A13,Pricing_Master!$B$4:$D$22,2,FALSE()),0))</f>
        <v/>
      </c>
      <c r="D13" s="43" t="str">
        <f aca="false">IF($A13="","",IFERROR(VLOOKUP($A13,Pricing_Master!$B$4:$D$22,2,FALSE())*$B13,0))</f>
        <v/>
      </c>
    </row>
    <row r="14" customFormat="false" ht="15" hidden="false" customHeight="true" outlineLevel="0" collapsed="false">
      <c r="A14" s="44"/>
      <c r="B14" s="41"/>
      <c r="C14" s="42" t="str">
        <f aca="false">IF($A14="","",IFERROR(VLOOKUP($A14,Pricing_Master!$B$4:$D$22,2,FALSE()),0))</f>
        <v/>
      </c>
      <c r="D14" s="43" t="str">
        <f aca="false">IF($A14="","",IFERROR(VLOOKUP($A14,Pricing_Master!$B$4:$D$22,2,FALSE())*$B14,0))</f>
        <v/>
      </c>
    </row>
    <row r="15" customFormat="false" ht="15" hidden="false" customHeight="true" outlineLevel="0" collapsed="false">
      <c r="A15" s="44"/>
      <c r="B15" s="41"/>
      <c r="C15" s="42" t="str">
        <f aca="false">IF($A15="","",IFERROR(VLOOKUP($A15,Pricing_Master!$B$4:$D$22,2,FALSE()),0))</f>
        <v/>
      </c>
      <c r="D15" s="43" t="str">
        <f aca="false">IF($A15="","",IFERROR(VLOOKUP($A15,Pricing_Master!$B$4:$D$22,2,FALSE())*$B15,0))</f>
        <v/>
      </c>
    </row>
    <row r="16" customFormat="false" ht="15" hidden="false" customHeight="true" outlineLevel="0" collapsed="false">
      <c r="A16" s="44"/>
      <c r="B16" s="41"/>
      <c r="C16" s="42" t="str">
        <f aca="false">IF($A16="","",IFERROR(VLOOKUP($A16,Pricing_Master!$B$4:$D$22,2,FALSE()),0))</f>
        <v/>
      </c>
      <c r="D16" s="43" t="str">
        <f aca="false">IF($A16="","",IFERROR(VLOOKUP($A16,Pricing_Master!$B$4:$D$22,2,FALSE())*$B16,0))</f>
        <v/>
      </c>
    </row>
    <row r="17" customFormat="false" ht="15" hidden="false" customHeight="true" outlineLevel="0" collapsed="false">
      <c r="A17" s="44"/>
      <c r="B17" s="41"/>
      <c r="C17" s="42" t="str">
        <f aca="false">IF($A17="","",IFERROR(VLOOKUP($A17,Pricing_Master!$B$4:$D$22,2,FALSE()),0))</f>
        <v/>
      </c>
      <c r="D17" s="43" t="str">
        <f aca="false">IF($A17="","",IFERROR(VLOOKUP($A17,Pricing_Master!$B$4:$D$22,2,FALSE())*$B17,0))</f>
        <v/>
      </c>
    </row>
    <row r="18" customFormat="false" ht="15" hidden="false" customHeight="true" outlineLevel="0" collapsed="false">
      <c r="A18" s="44"/>
      <c r="B18" s="41"/>
      <c r="C18" s="42" t="str">
        <f aca="false">IF($A18="","",IFERROR(VLOOKUP($A18,Pricing_Master!$B$4:$D$22,2,FALSE()),0))</f>
        <v/>
      </c>
      <c r="D18" s="43" t="str">
        <f aca="false">IF($A18="","",IFERROR(VLOOKUP($A18,Pricing_Master!$B$4:$D$22,2,FALSE())*$B18,0))</f>
        <v/>
      </c>
    </row>
    <row r="19" customFormat="false" ht="15" hidden="false" customHeight="true" outlineLevel="0" collapsed="false">
      <c r="C19" s="37" t="s">
        <v>281</v>
      </c>
      <c r="D19" s="45" t="n">
        <f aca="false">SUM(D7:D18)</f>
        <v>92000</v>
      </c>
    </row>
    <row r="20" customFormat="false" ht="15" hidden="false" customHeight="true" outlineLevel="0" collapsed="false">
      <c r="A20" s="28" t="s">
        <v>282</v>
      </c>
      <c r="B20" s="31" t="n">
        <v>0</v>
      </c>
      <c r="C20" s="37" t="s">
        <v>283</v>
      </c>
      <c r="D20" s="46" t="n">
        <f aca="false">ROUND(D19*B20,0)</f>
        <v>0</v>
      </c>
    </row>
    <row r="21" customFormat="false" ht="16.5" hidden="false" customHeight="true" outlineLevel="0" collapsed="false">
      <c r="A21" s="28" t="s">
        <v>284</v>
      </c>
      <c r="B21" s="47" t="n">
        <v>0</v>
      </c>
      <c r="C21" s="37" t="s">
        <v>285</v>
      </c>
      <c r="D21" s="46" t="n">
        <f aca="false">B21</f>
        <v>0</v>
      </c>
    </row>
    <row r="22" customFormat="false" ht="15" hidden="false" customHeight="true" outlineLevel="0" collapsed="false">
      <c r="C22" s="37" t="s">
        <v>286</v>
      </c>
      <c r="D22" s="48" t="n">
        <v>0</v>
      </c>
    </row>
    <row r="23" customFormat="false" ht="15" hidden="false" customHeight="true" outlineLevel="0" collapsed="false">
      <c r="C23" s="37" t="s">
        <v>287</v>
      </c>
      <c r="D23" s="46" t="n">
        <f aca="false">D19+D20+D21-D22</f>
        <v>92000</v>
      </c>
    </row>
    <row r="24" customFormat="false" ht="15" hidden="false" customHeight="true" outlineLevel="0" collapsed="false">
      <c r="C24" s="37" t="s">
        <v>288</v>
      </c>
      <c r="D24" s="49" t="n">
        <f aca="false">ROUND(D23*料金マスタ!$B$29,0)</f>
        <v>9200</v>
      </c>
    </row>
    <row r="25" customFormat="false" ht="15" hidden="false" customHeight="true" outlineLevel="0" collapsed="false">
      <c r="C25" s="50" t="s">
        <v>289</v>
      </c>
      <c r="D25" s="51" t="n">
        <f aca="false">D23+D24</f>
        <v>101200</v>
      </c>
    </row>
    <row r="27" customFormat="false" ht="15" hidden="false" customHeight="true" outlineLevel="0" collapsed="false">
      <c r="A27" s="52" t="s">
        <v>290</v>
      </c>
    </row>
  </sheetData>
  <dataValidations count="1">
    <dataValidation allowBlank="true" errorStyle="stop" operator="between" showDropDown="false" showErrorMessage="false" showInputMessage="false" sqref="A7:A18" type="list">
      <formula1>Pricing_Master!$B$4:$B$22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8"/>
  </cols>
  <sheetData>
    <row r="1" customFormat="false" ht="17.25" hidden="false" customHeight="true" outlineLevel="0" collapsed="false">
      <c r="A1" s="21" t="s">
        <v>291</v>
      </c>
    </row>
    <row r="3" customFormat="false" ht="15" hidden="false" customHeight="true" outlineLevel="0" collapsed="false">
      <c r="A3" s="30" t="s">
        <v>292</v>
      </c>
      <c r="B3" s="53" t="s">
        <v>293</v>
      </c>
    </row>
    <row r="4" customFormat="false" ht="15" hidden="false" customHeight="true" outlineLevel="0" collapsed="false">
      <c r="A4" s="30" t="s">
        <v>294</v>
      </c>
      <c r="B4" s="53" t="s">
        <v>274</v>
      </c>
    </row>
    <row r="5" customFormat="false" ht="16.5" hidden="false" customHeight="true" outlineLevel="0" collapsed="false">
      <c r="A5" s="30" t="s">
        <v>242</v>
      </c>
      <c r="B5" s="53" t="s">
        <v>251</v>
      </c>
    </row>
    <row r="6" customFormat="false" ht="15" hidden="false" customHeight="true" outlineLevel="0" collapsed="false">
      <c r="A6" s="30" t="s">
        <v>243</v>
      </c>
      <c r="B6" s="54" t="str">
        <f aca="false">IFERROR(VLOOKUP($B$5,顧客マスタ!$A$4:$F$15,2,FALSE()),"")</f>
        <v>パーラー〇〇 本店</v>
      </c>
    </row>
    <row r="7" customFormat="false" ht="15" hidden="false" customHeight="true" outlineLevel="0" collapsed="false">
      <c r="A7" s="30" t="s">
        <v>177</v>
      </c>
      <c r="B7" s="54" t="str">
        <f aca="false">IFERROR(VLOOKUP($B$5,顧客マスタ!$A$4:$F$15,5,FALSE()),"")</f>
        <v>スタンダード</v>
      </c>
    </row>
    <row r="8" customFormat="false" ht="16.5" hidden="false" customHeight="true" outlineLevel="0" collapsed="false">
      <c r="A8" s="30" t="s">
        <v>295</v>
      </c>
      <c r="B8" s="55" t="n">
        <f aca="false">IFERROR(VLOOKUP($B$7&amp;"プラン",Pricing_Master!$B$4:$C$22,2,FALSE()),"")</f>
        <v>100000</v>
      </c>
    </row>
    <row r="9" customFormat="false" ht="15" hidden="false" customHeight="true" outlineLevel="0" collapsed="false">
      <c r="A9" s="30" t="s">
        <v>296</v>
      </c>
      <c r="B9" s="56" t="n">
        <v>46194</v>
      </c>
    </row>
    <row r="10" customFormat="false" ht="16.5" hidden="false" customHeight="true" outlineLevel="0" collapsed="false">
      <c r="A10" s="30" t="s">
        <v>297</v>
      </c>
      <c r="B10" s="53" t="n">
        <v>6</v>
      </c>
    </row>
    <row r="11" customFormat="false" ht="16.5" hidden="false" customHeight="true" outlineLevel="0" collapsed="false">
      <c r="A11" s="30" t="s">
        <v>298</v>
      </c>
      <c r="B11" s="57" t="n">
        <f aca="false">自動見積!$D$25</f>
        <v>101200</v>
      </c>
    </row>
    <row r="13" customFormat="false" ht="15" hidden="false" customHeight="true" outlineLevel="0" collapsed="false">
      <c r="A13" s="58" t="s">
        <v>299</v>
      </c>
      <c r="B13" s="59"/>
    </row>
    <row r="14" customFormat="false" ht="30" hidden="false" customHeight="true" outlineLevel="0" collapsed="false">
      <c r="A14" s="30" t="s">
        <v>300</v>
      </c>
      <c r="B14" s="7" t="s">
        <v>301</v>
      </c>
    </row>
    <row r="15" customFormat="false" ht="30" hidden="false" customHeight="true" outlineLevel="0" collapsed="false">
      <c r="A15" s="30" t="s">
        <v>302</v>
      </c>
      <c r="B15" s="60" t="str">
        <f aca="false">" 月額 "&amp;TEXT(B8,"¥#,##0")&amp;"（税抜）。最低契約期間 "&amp;B10&amp;"ヶ月。"</f>
        <v> 月額 ¥100,000（税抜）。最低契約期間 6ヶ月。</v>
      </c>
    </row>
    <row r="16" customFormat="false" ht="30" hidden="false" customHeight="true" outlineLevel="0" collapsed="false">
      <c r="A16" s="30" t="s">
        <v>303</v>
      </c>
      <c r="B16" s="7" t="s">
        <v>304</v>
      </c>
    </row>
    <row r="17" customFormat="false" ht="30" hidden="false" customHeight="true" outlineLevel="0" collapsed="false">
      <c r="A17" s="30" t="s">
        <v>305</v>
      </c>
      <c r="B17" s="5" t="s">
        <v>306</v>
      </c>
    </row>
    <row r="18" customFormat="false" ht="30" hidden="false" customHeight="true" outlineLevel="0" collapsed="false">
      <c r="A18" s="30" t="s">
        <v>307</v>
      </c>
      <c r="B18" s="7" t="s">
        <v>308</v>
      </c>
    </row>
    <row r="19" customFormat="false" ht="30" hidden="false" customHeight="true" outlineLevel="0" collapsed="false">
      <c r="A19" s="30" t="s">
        <v>309</v>
      </c>
      <c r="B19" s="7" t="s">
        <v>310</v>
      </c>
    </row>
    <row r="20" customFormat="false" ht="30" hidden="false" customHeight="true" outlineLevel="0" collapsed="false">
      <c r="A20" s="30" t="s">
        <v>311</v>
      </c>
      <c r="B20" s="7" t="s">
        <v>312</v>
      </c>
    </row>
    <row r="21" customFormat="false" ht="30" hidden="false" customHeight="true" outlineLevel="0" collapsed="false">
      <c r="A21" s="30" t="s">
        <v>313</v>
      </c>
      <c r="B21" s="7" t="s">
        <v>314</v>
      </c>
    </row>
    <row r="22" customFormat="false" ht="30" hidden="false" customHeight="true" outlineLevel="0" collapsed="false">
      <c r="A22" s="30" t="s">
        <v>315</v>
      </c>
      <c r="B22" s="7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16"/>
    <col collapsed="false" customWidth="true" hidden="false" outlineLevel="0" max="8" min="6" style="1" width="12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2" min="12" style="1" width="9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6" min="15" style="1" width="11"/>
    <col collapsed="false" customWidth="true" hidden="false" outlineLevel="0" max="17" min="17" style="0" width="11"/>
    <col collapsed="false" customWidth="true" hidden="false" outlineLevel="0" max="18" min="18" style="0" width="18"/>
    <col collapsed="false" customWidth="true" hidden="false" outlineLevel="0" max="20" min="19" style="0" width="14"/>
    <col collapsed="false" customWidth="true" hidden="false" outlineLevel="0" max="21" min="21" style="0" width="12"/>
  </cols>
  <sheetData>
    <row r="1" customFormat="false" ht="17.25" hidden="false" customHeight="true" outlineLevel="0" collapsed="false">
      <c r="A1" s="21" t="s">
        <v>317</v>
      </c>
    </row>
    <row r="2" customFormat="false" ht="15" hidden="false" customHeight="true" outlineLevel="0" collapsed="false">
      <c r="A2" s="22" t="s">
        <v>318</v>
      </c>
    </row>
    <row r="3" customFormat="false" ht="16.5" hidden="false" customHeight="true" outlineLevel="0" collapsed="false">
      <c r="A3" s="23" t="s">
        <v>319</v>
      </c>
      <c r="B3" s="23" t="s">
        <v>242</v>
      </c>
      <c r="C3" s="23" t="s">
        <v>243</v>
      </c>
      <c r="D3" s="23" t="s">
        <v>320</v>
      </c>
      <c r="E3" s="23" t="s">
        <v>171</v>
      </c>
      <c r="F3" s="23" t="s">
        <v>321</v>
      </c>
      <c r="G3" s="23" t="s">
        <v>322</v>
      </c>
      <c r="H3" s="23" t="s">
        <v>323</v>
      </c>
      <c r="I3" s="23" t="s">
        <v>324</v>
      </c>
      <c r="J3" s="23" t="s">
        <v>325</v>
      </c>
      <c r="K3" s="23" t="s">
        <v>326</v>
      </c>
      <c r="L3" s="23" t="s">
        <v>327</v>
      </c>
      <c r="M3" s="23" t="s">
        <v>328</v>
      </c>
      <c r="N3" s="23" t="s">
        <v>329</v>
      </c>
      <c r="O3" s="23" t="s">
        <v>330</v>
      </c>
      <c r="P3" s="23" t="s">
        <v>249</v>
      </c>
      <c r="Q3" s="61" t="s">
        <v>331</v>
      </c>
      <c r="R3" s="61" t="s">
        <v>332</v>
      </c>
      <c r="S3" s="61" t="s">
        <v>333</v>
      </c>
      <c r="T3" s="61" t="s">
        <v>334</v>
      </c>
      <c r="U3" s="61" t="s">
        <v>335</v>
      </c>
    </row>
    <row r="4" customFormat="false" ht="16.5" hidden="false" customHeight="true" outlineLevel="0" collapsed="false">
      <c r="A4" s="19" t="s">
        <v>336</v>
      </c>
      <c r="B4" s="41" t="s">
        <v>261</v>
      </c>
      <c r="C4" s="54" t="str">
        <f aca="false">IF($B4="","",IFERROR(VLOOKUP($B4,顧客マスタ!$A$4:$F$15,2,FALSE()),""))</f>
        <v>□□会館</v>
      </c>
      <c r="D4" s="44" t="s">
        <v>337</v>
      </c>
      <c r="E4" s="33" t="s">
        <v>180</v>
      </c>
      <c r="F4" s="33" t="s">
        <v>181</v>
      </c>
      <c r="G4" s="62" t="n">
        <v>46174</v>
      </c>
      <c r="H4" s="62"/>
      <c r="I4" s="19" t="str">
        <f aca="false">IF($G4="","",TEXT($G4,"yyyy-mm"))</f>
        <v>2026-06</v>
      </c>
      <c r="J4" s="26" t="n">
        <v>160000</v>
      </c>
      <c r="K4" s="49" t="n">
        <f aca="false">SUMIFS(外注管理!$I$4:$I$60,外注管理!$B$4:$B$60,$A4)</f>
        <v>0</v>
      </c>
      <c r="L4" s="63" t="n">
        <v>46</v>
      </c>
      <c r="M4" s="46" t="n">
        <f aca="false">J4-K4</f>
        <v>160000</v>
      </c>
      <c r="N4" s="64" t="n">
        <f aca="false">IF(J4=0,"",M4/J4)</f>
        <v>1</v>
      </c>
      <c r="O4" s="46" t="n">
        <f aca="false">IF(L4=0,"",ROUND(M4/L4,0))</f>
        <v>3478</v>
      </c>
      <c r="P4" s="33" t="s">
        <v>204</v>
      </c>
      <c r="Q4" s="41"/>
      <c r="R4" s="65" t="str">
        <f aca="false">IF($Q4="","",IFERROR(VLOOKUP($Q4,Theme_Master!$A$4:$B$22,2,FALSE()),""))</f>
        <v/>
      </c>
      <c r="S4" s="41"/>
      <c r="T4" s="66" t="str">
        <f aca="false">IF($Q4="","",IFERROR(VLOOKUP($Q4,Theme_Master!$A$4:$C$22,3,FALSE()),""))</f>
        <v/>
      </c>
      <c r="U4" s="66" t="str">
        <f aca="false">IF($B4="","",IFERROR(VLOOKUP($B4,顧客マスタ!$A$4:$E$15,5,FALSE()),""))</f>
        <v>プレミアム</v>
      </c>
    </row>
    <row r="5" customFormat="false" ht="16.5" hidden="false" customHeight="true" outlineLevel="0" collapsed="false">
      <c r="A5" s="19" t="s">
        <v>338</v>
      </c>
      <c r="B5" s="41" t="s">
        <v>251</v>
      </c>
      <c r="C5" s="54" t="str">
        <f aca="false">IF($B5="","",IFERROR(VLOOKUP($B5,顧客マスタ!$A$4:$F$15,2,FALSE()),""))</f>
        <v>パーラー〇〇 本店</v>
      </c>
      <c r="D5" s="44" t="s">
        <v>337</v>
      </c>
      <c r="E5" s="33" t="s">
        <v>180</v>
      </c>
      <c r="F5" s="33" t="s">
        <v>181</v>
      </c>
      <c r="G5" s="62" t="n">
        <v>46174</v>
      </c>
      <c r="H5" s="62"/>
      <c r="I5" s="19" t="str">
        <f aca="false">IF($G5="","",TEXT($G5,"yyyy-mm"))</f>
        <v>2026-06</v>
      </c>
      <c r="J5" s="26" t="n">
        <v>100000</v>
      </c>
      <c r="K5" s="49" t="n">
        <f aca="false">SUMIFS(外注管理!$I$4:$I$60,外注管理!$B$4:$B$60,$A5)</f>
        <v>0</v>
      </c>
      <c r="L5" s="63" t="n">
        <v>30</v>
      </c>
      <c r="M5" s="46" t="n">
        <f aca="false">J5-K5</f>
        <v>100000</v>
      </c>
      <c r="N5" s="64" t="n">
        <f aca="false">IF(J5=0,"",M5/J5)</f>
        <v>1</v>
      </c>
      <c r="O5" s="46" t="n">
        <f aca="false">IF(L5=0,"",ROUND(M5/L5,0))</f>
        <v>3333</v>
      </c>
      <c r="P5" s="33" t="s">
        <v>204</v>
      </c>
      <c r="Q5" s="41"/>
      <c r="R5" s="65" t="str">
        <f aca="false">IF($Q5="","",IFERROR(VLOOKUP($Q5,Theme_Master!$A$4:$B$22,2,FALSE()),""))</f>
        <v/>
      </c>
      <c r="S5" s="41"/>
      <c r="T5" s="66" t="str">
        <f aca="false">IF($Q5="","",IFERROR(VLOOKUP($Q5,Theme_Master!$A$4:$C$22,3,FALSE()),""))</f>
        <v/>
      </c>
      <c r="U5" s="66" t="str">
        <f aca="false">IF($B5="","",IFERROR(VLOOKUP($B5,顧客マスタ!$A$4:$E$15,5,FALSE()),""))</f>
        <v>スタンダード</v>
      </c>
    </row>
    <row r="6" customFormat="false" ht="16.5" hidden="false" customHeight="true" outlineLevel="0" collapsed="false">
      <c r="A6" s="19" t="s">
        <v>339</v>
      </c>
      <c r="B6" s="41" t="s">
        <v>256</v>
      </c>
      <c r="C6" s="54" t="str">
        <f aca="false">IF($B6="","",IFERROR(VLOOKUP($B6,顧客マスタ!$A$4:$F$15,2,FALSE()),""))</f>
        <v>△△ホール 駅前店</v>
      </c>
      <c r="D6" s="44" t="s">
        <v>337</v>
      </c>
      <c r="E6" s="33" t="s">
        <v>180</v>
      </c>
      <c r="F6" s="33" t="s">
        <v>181</v>
      </c>
      <c r="G6" s="62" t="n">
        <v>46174</v>
      </c>
      <c r="H6" s="62"/>
      <c r="I6" s="19" t="str">
        <f aca="false">IF($G6="","",TEXT($G6,"yyyy-mm"))</f>
        <v>2026-06</v>
      </c>
      <c r="J6" s="26" t="n">
        <v>60000</v>
      </c>
      <c r="K6" s="49" t="n">
        <f aca="false">SUMIFS(外注管理!$I$4:$I$60,外注管理!$B$4:$B$60,$A6)</f>
        <v>0</v>
      </c>
      <c r="L6" s="63" t="n">
        <v>15</v>
      </c>
      <c r="M6" s="46" t="n">
        <f aca="false">J6-K6</f>
        <v>60000</v>
      </c>
      <c r="N6" s="64" t="n">
        <f aca="false">IF(J6=0,"",M6/J6)</f>
        <v>1</v>
      </c>
      <c r="O6" s="46" t="n">
        <f aca="false">IF(L6=0,"",ROUND(M6/L6,0))</f>
        <v>4000</v>
      </c>
      <c r="P6" s="33" t="s">
        <v>204</v>
      </c>
      <c r="Q6" s="41"/>
      <c r="R6" s="65" t="str">
        <f aca="false">IF($Q6="","",IFERROR(VLOOKUP($Q6,Theme_Master!$A$4:$B$22,2,FALSE()),""))</f>
        <v/>
      </c>
      <c r="S6" s="41"/>
      <c r="T6" s="66" t="str">
        <f aca="false">IF($Q6="","",IFERROR(VLOOKUP($Q6,Theme_Master!$A$4:$C$22,3,FALSE()),""))</f>
        <v/>
      </c>
      <c r="U6" s="66" t="str">
        <f aca="false">IF($B6="","",IFERROR(VLOOKUP($B6,顧客マスタ!$A$4:$E$15,5,FALSE()),""))</f>
        <v>ライト</v>
      </c>
    </row>
    <row r="7" customFormat="false" ht="16.5" hidden="false" customHeight="true" outlineLevel="0" collapsed="false">
      <c r="A7" s="19" t="s">
        <v>340</v>
      </c>
      <c r="B7" s="41" t="s">
        <v>261</v>
      </c>
      <c r="C7" s="54" t="str">
        <f aca="false">IF($B7="","",IFERROR(VLOOKUP($B7,顧客マスタ!$A$4:$F$15,2,FALSE()),""))</f>
        <v>□□会館</v>
      </c>
      <c r="D7" s="67" t="s">
        <v>341</v>
      </c>
      <c r="E7" s="33" t="s">
        <v>116</v>
      </c>
      <c r="F7" s="33" t="s">
        <v>42</v>
      </c>
      <c r="G7" s="62" t="n">
        <v>46178</v>
      </c>
      <c r="H7" s="62" t="n">
        <v>46185</v>
      </c>
      <c r="I7" s="19" t="str">
        <f aca="false">IF($G7="","",TEXT($G7,"yyyy-mm"))</f>
        <v>2026-06</v>
      </c>
      <c r="J7" s="26" t="n">
        <v>150000</v>
      </c>
      <c r="K7" s="49" t="n">
        <f aca="false">SUMIFS(外注管理!$I$4:$I$60,外注管理!$B$4:$B$60,$A7)</f>
        <v>10000</v>
      </c>
      <c r="L7" s="63" t="n">
        <v>24</v>
      </c>
      <c r="M7" s="46" t="n">
        <f aca="false">J7-K7</f>
        <v>140000</v>
      </c>
      <c r="N7" s="64" t="n">
        <f aca="false">IF(J7=0,"",M7/J7)</f>
        <v>0.933333333333333</v>
      </c>
      <c r="O7" s="46" t="n">
        <f aca="false">IF(L7=0,"",ROUND(M7/L7,0))</f>
        <v>5833</v>
      </c>
      <c r="P7" s="33" t="s">
        <v>191</v>
      </c>
      <c r="Q7" s="41" t="s">
        <v>114</v>
      </c>
      <c r="R7" s="65" t="str">
        <f aca="false">IF($Q7="","",IFERROR(VLOOKUP($Q7,Theme_Master!$A$4:$B$22,2,FALSE()),""))</f>
        <v>リニューアルオープン</v>
      </c>
      <c r="S7" s="41" t="s">
        <v>153</v>
      </c>
      <c r="T7" s="66" t="str">
        <f aca="false">IF($Q7="","",IFERROR(VLOOKUP($Q7,Theme_Master!$A$4:$C$22,3,FALSE()),""))</f>
        <v>オープン・大型</v>
      </c>
      <c r="U7" s="66" t="str">
        <f aca="false">IF($B7="","",IFERROR(VLOOKUP($B7,顧客マスタ!$A$4:$E$15,5,FALSE()),""))</f>
        <v>プレミアム</v>
      </c>
    </row>
    <row r="8" customFormat="false" ht="16.5" hidden="false" customHeight="true" outlineLevel="0" collapsed="false">
      <c r="A8" s="19" t="s">
        <v>342</v>
      </c>
      <c r="B8" s="41" t="s">
        <v>251</v>
      </c>
      <c r="C8" s="54" t="str">
        <f aca="false">IF($B8="","",IFERROR(VLOOKUP($B8,顧客マスタ!$A$4:$F$15,2,FALSE()),""))</f>
        <v>パーラー〇〇 本店</v>
      </c>
      <c r="D8" s="67" t="s">
        <v>343</v>
      </c>
      <c r="E8" s="33" t="s">
        <v>105</v>
      </c>
      <c r="F8" s="33" t="s">
        <v>42</v>
      </c>
      <c r="G8" s="62" t="n">
        <v>46188</v>
      </c>
      <c r="H8" s="62" t="n">
        <v>46195</v>
      </c>
      <c r="I8" s="19" t="str">
        <f aca="false">IF($G8="","",TEXT($G8,"yyyy-mm"))</f>
        <v>2026-06</v>
      </c>
      <c r="J8" s="26" t="n">
        <v>100000</v>
      </c>
      <c r="K8" s="49" t="n">
        <f aca="false">SUMIFS(外注管理!$I$4:$I$60,外注管理!$B$4:$B$60,$A8)</f>
        <v>12000</v>
      </c>
      <c r="L8" s="63" t="n">
        <v>18</v>
      </c>
      <c r="M8" s="46" t="n">
        <f aca="false">J8-K8</f>
        <v>88000</v>
      </c>
      <c r="N8" s="64" t="n">
        <f aca="false">IF(J8=0,"",M8/J8)</f>
        <v>0.88</v>
      </c>
      <c r="O8" s="46" t="n">
        <f aca="false">IF(L8=0,"",ROUND(M8/L8,0))</f>
        <v>4889</v>
      </c>
      <c r="P8" s="33" t="s">
        <v>190</v>
      </c>
      <c r="Q8" s="41" t="s">
        <v>104</v>
      </c>
      <c r="R8" s="65" t="str">
        <f aca="false">IF($Q8="","",IFERROR(VLOOKUP($Q8,Theme_Master!$A$4:$B$22,2,FALSE()),""))</f>
        <v>周年</v>
      </c>
      <c r="S8" s="68" t="s">
        <v>154</v>
      </c>
      <c r="T8" s="66" t="str">
        <f aca="false">IF($Q8="","",IFERROR(VLOOKUP($Q8,Theme_Master!$A$4:$C$22,3,FALSE()),""))</f>
        <v>オープン・大型</v>
      </c>
      <c r="U8" s="66" t="str">
        <f aca="false">IF($B8="","",IFERROR(VLOOKUP($B8,顧客マスタ!$A$4:$E$15,5,FALSE()),""))</f>
        <v>スタンダード</v>
      </c>
    </row>
    <row r="9" customFormat="false" ht="16.5" hidden="false" customHeight="true" outlineLevel="0" collapsed="false">
      <c r="A9" s="19" t="s">
        <v>344</v>
      </c>
      <c r="B9" s="41" t="s">
        <v>251</v>
      </c>
      <c r="C9" s="54" t="str">
        <f aca="false">IF($B9="","",IFERROR(VLOOKUP($B9,顧客マスタ!$A$4:$F$15,2,FALSE()),""))</f>
        <v>パーラー〇〇 本店</v>
      </c>
      <c r="D9" s="44" t="s">
        <v>345</v>
      </c>
      <c r="E9" s="33" t="s">
        <v>180</v>
      </c>
      <c r="F9" s="33" t="s">
        <v>181</v>
      </c>
      <c r="G9" s="62" t="n">
        <v>46143</v>
      </c>
      <c r="H9" s="62"/>
      <c r="I9" s="19" t="str">
        <f aca="false">IF($G9="","",TEXT($G9,"yyyy-mm"))</f>
        <v>2026-05</v>
      </c>
      <c r="J9" s="26" t="n">
        <v>100000</v>
      </c>
      <c r="K9" s="49" t="n">
        <f aca="false">SUMIFS(外注管理!$I$4:$I$60,外注管理!$B$4:$B$60,$A9)</f>
        <v>0</v>
      </c>
      <c r="L9" s="63" t="n">
        <v>30</v>
      </c>
      <c r="M9" s="46" t="n">
        <f aca="false">J9-K9</f>
        <v>100000</v>
      </c>
      <c r="N9" s="64" t="n">
        <f aca="false">IF(J9=0,"",M9/J9)</f>
        <v>1</v>
      </c>
      <c r="O9" s="46" t="n">
        <f aca="false">IF(L9=0,"",ROUND(M9/L9,0))</f>
        <v>3333</v>
      </c>
      <c r="P9" s="33" t="s">
        <v>191</v>
      </c>
      <c r="Q9" s="41"/>
      <c r="R9" s="65" t="str">
        <f aca="false">IF($Q9="","",IFERROR(VLOOKUP($Q9,Theme_Master!$A$4:$B$22,2,FALSE()),""))</f>
        <v/>
      </c>
      <c r="S9" s="41"/>
      <c r="T9" s="66" t="str">
        <f aca="false">IF($Q9="","",IFERROR(VLOOKUP($Q9,Theme_Master!$A$4:$C$22,3,FALSE()),""))</f>
        <v/>
      </c>
      <c r="U9" s="66" t="str">
        <f aca="false">IF($B9="","",IFERROR(VLOOKUP($B9,顧客マスタ!$A$4:$E$15,5,FALSE()),""))</f>
        <v>スタンダード</v>
      </c>
    </row>
    <row r="10" customFormat="false" ht="16.5" hidden="false" customHeight="true" outlineLevel="0" collapsed="false">
      <c r="A10" s="19" t="s">
        <v>346</v>
      </c>
      <c r="B10" s="41" t="s">
        <v>261</v>
      </c>
      <c r="C10" s="54" t="str">
        <f aca="false">IF($B10="","",IFERROR(VLOOKUP($B10,顧客マスタ!$A$4:$F$15,2,FALSE()),""))</f>
        <v>□□会館</v>
      </c>
      <c r="D10" s="44" t="s">
        <v>345</v>
      </c>
      <c r="E10" s="33" t="s">
        <v>180</v>
      </c>
      <c r="F10" s="33" t="s">
        <v>181</v>
      </c>
      <c r="G10" s="62" t="n">
        <v>46143</v>
      </c>
      <c r="H10" s="62"/>
      <c r="I10" s="19" t="str">
        <f aca="false">IF($G10="","",TEXT($G10,"yyyy-mm"))</f>
        <v>2026-05</v>
      </c>
      <c r="J10" s="26" t="n">
        <v>160000</v>
      </c>
      <c r="K10" s="49" t="n">
        <f aca="false">SUMIFS(外注管理!$I$4:$I$60,外注管理!$B$4:$B$60,$A10)</f>
        <v>0</v>
      </c>
      <c r="L10" s="63" t="n">
        <v>44</v>
      </c>
      <c r="M10" s="46" t="n">
        <f aca="false">J10-K10</f>
        <v>160000</v>
      </c>
      <c r="N10" s="64" t="n">
        <f aca="false">IF(J10=0,"",M10/J10)</f>
        <v>1</v>
      </c>
      <c r="O10" s="46" t="n">
        <f aca="false">IF(L10=0,"",ROUND(M10/L10,0))</f>
        <v>3636</v>
      </c>
      <c r="P10" s="33" t="s">
        <v>191</v>
      </c>
      <c r="Q10" s="41"/>
      <c r="R10" s="65" t="str">
        <f aca="false">IF($Q10="","",IFERROR(VLOOKUP($Q10,Theme_Master!$A$4:$B$22,2,FALSE()),""))</f>
        <v/>
      </c>
      <c r="S10" s="41"/>
      <c r="T10" s="66" t="str">
        <f aca="false">IF($Q10="","",IFERROR(VLOOKUP($Q10,Theme_Master!$A$4:$C$22,3,FALSE()),""))</f>
        <v/>
      </c>
      <c r="U10" s="66" t="str">
        <f aca="false">IF($B10="","",IFERROR(VLOOKUP($B10,顧客マスタ!$A$4:$E$15,5,FALSE()),""))</f>
        <v>プレミアム</v>
      </c>
    </row>
    <row r="11" customFormat="false" ht="15" hidden="false" customHeight="true" outlineLevel="0" collapsed="false">
      <c r="B11" s="41"/>
      <c r="C11" s="54" t="str">
        <f aca="false">IF($B11="","",IFERROR(VLOOKUP($B11,顧客マスタ!$A$4:$F$15,2,FALSE()),""))</f>
        <v/>
      </c>
      <c r="I11" s="19" t="str">
        <f aca="false">IF($G11="","",TEXT($G11,"yyyy-mm"))</f>
        <v/>
      </c>
      <c r="J11" s="26"/>
      <c r="K11" s="49" t="str">
        <f aca="false">IF($A11="","",SUMIFS(外注管理!$I$4:$I$60,外注管理!$B$4:$B$60,$A11))</f>
        <v/>
      </c>
      <c r="L11" s="63"/>
      <c r="M11" s="46" t="str">
        <f aca="false">IF($J11="","",J11-K11)</f>
        <v/>
      </c>
      <c r="N11" s="64" t="str">
        <f aca="false">IF(OR($J11="",$J11=0),"",M11/J11)</f>
        <v/>
      </c>
      <c r="O11" s="46" t="str">
        <f aca="false">IF(OR($L11="",$L11=0),"",ROUND(M11/L11,0))</f>
        <v/>
      </c>
      <c r="Q11" s="41"/>
      <c r="R11" s="65" t="str">
        <f aca="false">IF($Q11="","",IFERROR(VLOOKUP($Q11,Theme_Master!$A$4:$B$22,2,FALSE()),""))</f>
        <v/>
      </c>
      <c r="S11" s="41"/>
      <c r="T11" s="66" t="str">
        <f aca="false">IF($Q11="","",IFERROR(VLOOKUP($Q11,Theme_Master!$A$4:$C$22,3,FALSE()),""))</f>
        <v/>
      </c>
      <c r="U11" s="66" t="str">
        <f aca="false">IF($B11="","",IFERROR(VLOOKUP($B11,顧客マスタ!$A$4:$E$15,5,FALSE()),""))</f>
        <v/>
      </c>
    </row>
    <row r="12" customFormat="false" ht="15" hidden="false" customHeight="true" outlineLevel="0" collapsed="false">
      <c r="B12" s="41"/>
      <c r="C12" s="54" t="str">
        <f aca="false">IF($B12="","",IFERROR(VLOOKUP($B12,顧客マスタ!$A$4:$F$15,2,FALSE()),""))</f>
        <v/>
      </c>
      <c r="I12" s="19" t="str">
        <f aca="false">IF($G12="","",TEXT($G12,"yyyy-mm"))</f>
        <v/>
      </c>
      <c r="J12" s="26"/>
      <c r="K12" s="49" t="str">
        <f aca="false">IF($A12="","",SUMIFS(外注管理!$I$4:$I$60,外注管理!$B$4:$B$60,$A12))</f>
        <v/>
      </c>
      <c r="L12" s="63"/>
      <c r="M12" s="46" t="str">
        <f aca="false">IF($J12="","",J12-K12)</f>
        <v/>
      </c>
      <c r="N12" s="64" t="str">
        <f aca="false">IF(OR($J12="",$J12=0),"",M12/J12)</f>
        <v/>
      </c>
      <c r="O12" s="46" t="str">
        <f aca="false">IF(OR($L12="",$L12=0),"",ROUND(M12/L12,0))</f>
        <v/>
      </c>
      <c r="Q12" s="41"/>
      <c r="R12" s="65" t="str">
        <f aca="false">IF($Q12="","",IFERROR(VLOOKUP($Q12,Theme_Master!$A$4:$B$22,2,FALSE()),""))</f>
        <v/>
      </c>
      <c r="S12" s="41"/>
      <c r="T12" s="66" t="str">
        <f aca="false">IF($Q12="","",IFERROR(VLOOKUP($Q12,Theme_Master!$A$4:$C$22,3,FALSE()),""))</f>
        <v/>
      </c>
      <c r="U12" s="66" t="str">
        <f aca="false">IF($B12="","",IFERROR(VLOOKUP($B12,顧客マスタ!$A$4:$E$15,5,FALSE()),""))</f>
        <v/>
      </c>
    </row>
    <row r="13" customFormat="false" ht="15" hidden="false" customHeight="true" outlineLevel="0" collapsed="false">
      <c r="B13" s="41"/>
      <c r="C13" s="54" t="str">
        <f aca="false">IF($B13="","",IFERROR(VLOOKUP($B13,顧客マスタ!$A$4:$F$15,2,FALSE()),""))</f>
        <v/>
      </c>
      <c r="I13" s="19" t="str">
        <f aca="false">IF($G13="","",TEXT($G13,"yyyy-mm"))</f>
        <v/>
      </c>
      <c r="J13" s="26"/>
      <c r="K13" s="49" t="str">
        <f aca="false">IF($A13="","",SUMIFS(外注管理!$I$4:$I$60,外注管理!$B$4:$B$60,$A13))</f>
        <v/>
      </c>
      <c r="L13" s="63"/>
      <c r="M13" s="46" t="str">
        <f aca="false">IF($J13="","",J13-K13)</f>
        <v/>
      </c>
      <c r="N13" s="64" t="str">
        <f aca="false">IF(OR($J13="",$J13=0),"",M13/J13)</f>
        <v/>
      </c>
      <c r="O13" s="46" t="str">
        <f aca="false">IF(OR($L13="",$L13=0),"",ROUND(M13/L13,0))</f>
        <v/>
      </c>
      <c r="Q13" s="41"/>
      <c r="R13" s="65" t="str">
        <f aca="false">IF($Q13="","",IFERROR(VLOOKUP($Q13,Theme_Master!$A$4:$B$22,2,FALSE()),""))</f>
        <v/>
      </c>
      <c r="S13" s="41"/>
      <c r="T13" s="66" t="str">
        <f aca="false">IF($Q13="","",IFERROR(VLOOKUP($Q13,Theme_Master!$A$4:$C$22,3,FALSE()),""))</f>
        <v/>
      </c>
      <c r="U13" s="66" t="str">
        <f aca="false">IF($B13="","",IFERROR(VLOOKUP($B13,顧客マスタ!$A$4:$E$15,5,FALSE()),""))</f>
        <v/>
      </c>
    </row>
    <row r="14" customFormat="false" ht="15" hidden="false" customHeight="true" outlineLevel="0" collapsed="false">
      <c r="B14" s="41"/>
      <c r="C14" s="54" t="str">
        <f aca="false">IF($B14="","",IFERROR(VLOOKUP($B14,顧客マスタ!$A$4:$F$15,2,FALSE()),""))</f>
        <v/>
      </c>
      <c r="I14" s="19" t="str">
        <f aca="false">IF($G14="","",TEXT($G14,"yyyy-mm"))</f>
        <v/>
      </c>
      <c r="J14" s="26"/>
      <c r="K14" s="49" t="str">
        <f aca="false">IF($A14="","",SUMIFS(外注管理!$I$4:$I$60,外注管理!$B$4:$B$60,$A14))</f>
        <v/>
      </c>
      <c r="L14" s="63"/>
      <c r="M14" s="46" t="str">
        <f aca="false">IF($J14="","",J14-K14)</f>
        <v/>
      </c>
      <c r="N14" s="64" t="str">
        <f aca="false">IF(OR($J14="",$J14=0),"",M14/J14)</f>
        <v/>
      </c>
      <c r="O14" s="46" t="str">
        <f aca="false">IF(OR($L14="",$L14=0),"",ROUND(M14/L14,0))</f>
        <v/>
      </c>
      <c r="Q14" s="41"/>
      <c r="R14" s="65" t="str">
        <f aca="false">IF($Q14="","",IFERROR(VLOOKUP($Q14,Theme_Master!$A$4:$B$22,2,FALSE()),""))</f>
        <v/>
      </c>
      <c r="S14" s="41"/>
      <c r="T14" s="66" t="str">
        <f aca="false">IF($Q14="","",IFERROR(VLOOKUP($Q14,Theme_Master!$A$4:$C$22,3,FALSE()),""))</f>
        <v/>
      </c>
      <c r="U14" s="66" t="str">
        <f aca="false">IF($B14="","",IFERROR(VLOOKUP($B14,顧客マスタ!$A$4:$E$15,5,FALSE()),""))</f>
        <v/>
      </c>
    </row>
    <row r="15" customFormat="false" ht="15" hidden="false" customHeight="true" outlineLevel="0" collapsed="false">
      <c r="B15" s="41"/>
      <c r="C15" s="54" t="str">
        <f aca="false">IF($B15="","",IFERROR(VLOOKUP($B15,顧客マスタ!$A$4:$F$15,2,FALSE()),""))</f>
        <v/>
      </c>
      <c r="I15" s="19" t="str">
        <f aca="false">IF($G15="","",TEXT($G15,"yyyy-mm"))</f>
        <v/>
      </c>
      <c r="J15" s="26"/>
      <c r="K15" s="49" t="str">
        <f aca="false">IF($A15="","",SUMIFS(外注管理!$I$4:$I$60,外注管理!$B$4:$B$60,$A15))</f>
        <v/>
      </c>
      <c r="L15" s="63"/>
      <c r="M15" s="46" t="str">
        <f aca="false">IF($J15="","",J15-K15)</f>
        <v/>
      </c>
      <c r="N15" s="64" t="str">
        <f aca="false">IF(OR($J15="",$J15=0),"",M15/J15)</f>
        <v/>
      </c>
      <c r="O15" s="46" t="str">
        <f aca="false">IF(OR($L15="",$L15=0),"",ROUND(M15/L15,0))</f>
        <v/>
      </c>
      <c r="Q15" s="41"/>
      <c r="R15" s="65" t="str">
        <f aca="false">IF($Q15="","",IFERROR(VLOOKUP($Q15,Theme_Master!$A$4:$B$22,2,FALSE()),""))</f>
        <v/>
      </c>
      <c r="S15" s="41"/>
      <c r="T15" s="66" t="str">
        <f aca="false">IF($Q15="","",IFERROR(VLOOKUP($Q15,Theme_Master!$A$4:$C$22,3,FALSE()),""))</f>
        <v/>
      </c>
      <c r="U15" s="66" t="str">
        <f aca="false">IF($B15="","",IFERROR(VLOOKUP($B15,顧客マスタ!$A$4:$E$15,5,FALSE()),""))</f>
        <v/>
      </c>
    </row>
    <row r="16" customFormat="false" ht="15" hidden="false" customHeight="true" outlineLevel="0" collapsed="false">
      <c r="B16" s="41"/>
      <c r="C16" s="54" t="str">
        <f aca="false">IF($B16="","",IFERROR(VLOOKUP($B16,顧客マスタ!$A$4:$F$15,2,FALSE()),""))</f>
        <v/>
      </c>
      <c r="I16" s="19" t="str">
        <f aca="false">IF($G16="","",TEXT($G16,"yyyy-mm"))</f>
        <v/>
      </c>
      <c r="J16" s="26"/>
      <c r="K16" s="49" t="str">
        <f aca="false">IF($A16="","",SUMIFS(外注管理!$I$4:$I$60,外注管理!$B$4:$B$60,$A16))</f>
        <v/>
      </c>
      <c r="L16" s="63"/>
      <c r="M16" s="46" t="str">
        <f aca="false">IF($J16="","",J16-K16)</f>
        <v/>
      </c>
      <c r="N16" s="64" t="str">
        <f aca="false">IF(OR($J16="",$J16=0),"",M16/J16)</f>
        <v/>
      </c>
      <c r="O16" s="46" t="str">
        <f aca="false">IF(OR($L16="",$L16=0),"",ROUND(M16/L16,0))</f>
        <v/>
      </c>
      <c r="Q16" s="41"/>
      <c r="R16" s="65" t="str">
        <f aca="false">IF($Q16="","",IFERROR(VLOOKUP($Q16,Theme_Master!$A$4:$B$22,2,FALSE()),""))</f>
        <v/>
      </c>
      <c r="S16" s="41"/>
      <c r="T16" s="66" t="str">
        <f aca="false">IF($Q16="","",IFERROR(VLOOKUP($Q16,Theme_Master!$A$4:$C$22,3,FALSE()),""))</f>
        <v/>
      </c>
      <c r="U16" s="66" t="str">
        <f aca="false">IF($B16="","",IFERROR(VLOOKUP($B16,顧客マスタ!$A$4:$E$15,5,FALSE()),""))</f>
        <v/>
      </c>
    </row>
    <row r="17" customFormat="false" ht="15" hidden="false" customHeight="true" outlineLevel="0" collapsed="false">
      <c r="B17" s="41"/>
      <c r="C17" s="54" t="str">
        <f aca="false">IF($B17="","",IFERROR(VLOOKUP($B17,顧客マスタ!$A$4:$F$15,2,FALSE()),""))</f>
        <v/>
      </c>
      <c r="I17" s="19" t="str">
        <f aca="false">IF($G17="","",TEXT($G17,"yyyy-mm"))</f>
        <v/>
      </c>
      <c r="J17" s="26"/>
      <c r="K17" s="49" t="str">
        <f aca="false">IF($A17="","",SUMIFS(外注管理!$I$4:$I$60,外注管理!$B$4:$B$60,$A17))</f>
        <v/>
      </c>
      <c r="L17" s="63"/>
      <c r="M17" s="46" t="str">
        <f aca="false">IF($J17="","",J17-K17)</f>
        <v/>
      </c>
      <c r="N17" s="64" t="str">
        <f aca="false">IF(OR($J17="",$J17=0),"",M17/J17)</f>
        <v/>
      </c>
      <c r="O17" s="46" t="str">
        <f aca="false">IF(OR($L17="",$L17=0),"",ROUND(M17/L17,0))</f>
        <v/>
      </c>
      <c r="Q17" s="41"/>
      <c r="R17" s="65" t="str">
        <f aca="false">IF($Q17="","",IFERROR(VLOOKUP($Q17,Theme_Master!$A$4:$B$22,2,FALSE()),""))</f>
        <v/>
      </c>
      <c r="S17" s="41"/>
      <c r="T17" s="66" t="str">
        <f aca="false">IF($Q17="","",IFERROR(VLOOKUP($Q17,Theme_Master!$A$4:$C$22,3,FALSE()),""))</f>
        <v/>
      </c>
      <c r="U17" s="66" t="str">
        <f aca="false">IF($B17="","",IFERROR(VLOOKUP($B17,顧客マスタ!$A$4:$E$15,5,FALSE()),""))</f>
        <v/>
      </c>
    </row>
    <row r="18" customFormat="false" ht="15" hidden="false" customHeight="true" outlineLevel="0" collapsed="false">
      <c r="B18" s="41"/>
      <c r="C18" s="54" t="str">
        <f aca="false">IF($B18="","",IFERROR(VLOOKUP($B18,顧客マスタ!$A$4:$F$15,2,FALSE()),""))</f>
        <v/>
      </c>
      <c r="I18" s="19" t="str">
        <f aca="false">IF($G18="","",TEXT($G18,"yyyy-mm"))</f>
        <v/>
      </c>
      <c r="J18" s="26"/>
      <c r="K18" s="49" t="str">
        <f aca="false">IF($A18="","",SUMIFS(外注管理!$I$4:$I$60,外注管理!$B$4:$B$60,$A18))</f>
        <v/>
      </c>
      <c r="L18" s="63"/>
      <c r="M18" s="46" t="str">
        <f aca="false">IF($J18="","",J18-K18)</f>
        <v/>
      </c>
      <c r="N18" s="64" t="str">
        <f aca="false">IF(OR($J18="",$J18=0),"",M18/J18)</f>
        <v/>
      </c>
      <c r="O18" s="46" t="str">
        <f aca="false">IF(OR($L18="",$L18=0),"",ROUND(M18/L18,0))</f>
        <v/>
      </c>
      <c r="Q18" s="41"/>
      <c r="R18" s="65" t="str">
        <f aca="false">IF($Q18="","",IFERROR(VLOOKUP($Q18,Theme_Master!$A$4:$B$22,2,FALSE()),""))</f>
        <v/>
      </c>
      <c r="S18" s="41"/>
      <c r="T18" s="66" t="str">
        <f aca="false">IF($Q18="","",IFERROR(VLOOKUP($Q18,Theme_Master!$A$4:$C$22,3,FALSE()),""))</f>
        <v/>
      </c>
      <c r="U18" s="66" t="str">
        <f aca="false">IF($B18="","",IFERROR(VLOOKUP($B18,顧客マスタ!$A$4:$E$15,5,FALSE()),""))</f>
        <v/>
      </c>
    </row>
    <row r="19" customFormat="false" ht="15" hidden="false" customHeight="true" outlineLevel="0" collapsed="false">
      <c r="B19" s="41"/>
      <c r="C19" s="54" t="str">
        <f aca="false">IF($B19="","",IFERROR(VLOOKUP($B19,顧客マスタ!$A$4:$F$15,2,FALSE()),""))</f>
        <v/>
      </c>
      <c r="I19" s="19" t="str">
        <f aca="false">IF($G19="","",TEXT($G19,"yyyy-mm"))</f>
        <v/>
      </c>
      <c r="J19" s="26"/>
      <c r="K19" s="49" t="str">
        <f aca="false">IF($A19="","",SUMIFS(外注管理!$I$4:$I$60,外注管理!$B$4:$B$60,$A19))</f>
        <v/>
      </c>
      <c r="L19" s="63"/>
      <c r="M19" s="46" t="str">
        <f aca="false">IF($J19="","",J19-K19)</f>
        <v/>
      </c>
      <c r="N19" s="64" t="str">
        <f aca="false">IF(OR($J19="",$J19=0),"",M19/J19)</f>
        <v/>
      </c>
      <c r="O19" s="46" t="str">
        <f aca="false">IF(OR($L19="",$L19=0),"",ROUND(M19/L19,0))</f>
        <v/>
      </c>
      <c r="Q19" s="41"/>
      <c r="R19" s="65" t="str">
        <f aca="false">IF($Q19="","",IFERROR(VLOOKUP($Q19,Theme_Master!$A$4:$B$22,2,FALSE()),""))</f>
        <v/>
      </c>
      <c r="S19" s="41"/>
      <c r="T19" s="66" t="str">
        <f aca="false">IF($Q19="","",IFERROR(VLOOKUP($Q19,Theme_Master!$A$4:$C$22,3,FALSE()),""))</f>
        <v/>
      </c>
      <c r="U19" s="66" t="str">
        <f aca="false">IF($B19="","",IFERROR(VLOOKUP($B19,顧客マスタ!$A$4:$E$15,5,FALSE()),""))</f>
        <v/>
      </c>
    </row>
    <row r="20" customFormat="false" ht="15" hidden="false" customHeight="true" outlineLevel="0" collapsed="false">
      <c r="B20" s="41"/>
      <c r="C20" s="54" t="str">
        <f aca="false">IF($B20="","",IFERROR(VLOOKUP($B20,顧客マスタ!$A$4:$F$15,2,FALSE()),""))</f>
        <v/>
      </c>
      <c r="I20" s="19" t="str">
        <f aca="false">IF($G20="","",TEXT($G20,"yyyy-mm"))</f>
        <v/>
      </c>
      <c r="J20" s="26"/>
      <c r="K20" s="49" t="str">
        <f aca="false">IF($A20="","",SUMIFS(外注管理!$I$4:$I$60,外注管理!$B$4:$B$60,$A20))</f>
        <v/>
      </c>
      <c r="L20" s="63"/>
      <c r="M20" s="46" t="str">
        <f aca="false">IF($J20="","",J20-K20)</f>
        <v/>
      </c>
      <c r="N20" s="64" t="str">
        <f aca="false">IF(OR($J20="",$J20=0),"",M20/J20)</f>
        <v/>
      </c>
      <c r="O20" s="46" t="str">
        <f aca="false">IF(OR($L20="",$L20=0),"",ROUND(M20/L20,0))</f>
        <v/>
      </c>
      <c r="Q20" s="41"/>
      <c r="R20" s="65" t="str">
        <f aca="false">IF($Q20="","",IFERROR(VLOOKUP($Q20,Theme_Master!$A$4:$B$22,2,FALSE()),""))</f>
        <v/>
      </c>
      <c r="S20" s="41"/>
      <c r="T20" s="66" t="str">
        <f aca="false">IF($Q20="","",IFERROR(VLOOKUP($Q20,Theme_Master!$A$4:$C$22,3,FALSE()),""))</f>
        <v/>
      </c>
      <c r="U20" s="66" t="str">
        <f aca="false">IF($B20="","",IFERROR(VLOOKUP($B20,顧客マスタ!$A$4:$E$15,5,FALSE()),""))</f>
        <v/>
      </c>
    </row>
    <row r="21" customFormat="false" ht="15" hidden="false" customHeight="true" outlineLevel="0" collapsed="false">
      <c r="B21" s="41"/>
      <c r="C21" s="54" t="str">
        <f aca="false">IF($B21="","",IFERROR(VLOOKUP($B21,顧客マスタ!$A$4:$F$15,2,FALSE()),""))</f>
        <v/>
      </c>
      <c r="I21" s="19" t="str">
        <f aca="false">IF($G21="","",TEXT($G21,"yyyy-mm"))</f>
        <v/>
      </c>
      <c r="J21" s="26"/>
      <c r="K21" s="49" t="str">
        <f aca="false">IF($A21="","",SUMIFS(外注管理!$I$4:$I$60,外注管理!$B$4:$B$60,$A21))</f>
        <v/>
      </c>
      <c r="L21" s="63"/>
      <c r="M21" s="46" t="str">
        <f aca="false">IF($J21="","",J21-K21)</f>
        <v/>
      </c>
      <c r="N21" s="64" t="str">
        <f aca="false">IF(OR($J21="",$J21=0),"",M21/J21)</f>
        <v/>
      </c>
      <c r="O21" s="46" t="str">
        <f aca="false">IF(OR($L21="",$L21=0),"",ROUND(M21/L21,0))</f>
        <v/>
      </c>
      <c r="Q21" s="41"/>
      <c r="R21" s="65" t="str">
        <f aca="false">IF($Q21="","",IFERROR(VLOOKUP($Q21,Theme_Master!$A$4:$B$22,2,FALSE()),""))</f>
        <v/>
      </c>
      <c r="S21" s="41"/>
      <c r="T21" s="66" t="str">
        <f aca="false">IF($Q21="","",IFERROR(VLOOKUP($Q21,Theme_Master!$A$4:$C$22,3,FALSE()),""))</f>
        <v/>
      </c>
      <c r="U21" s="66" t="str">
        <f aca="false">IF($B21="","",IFERROR(VLOOKUP($B21,顧客マスタ!$A$4:$E$15,5,FALSE()),""))</f>
        <v/>
      </c>
    </row>
    <row r="22" customFormat="false" ht="15" hidden="false" customHeight="true" outlineLevel="0" collapsed="false">
      <c r="B22" s="41"/>
      <c r="C22" s="54" t="str">
        <f aca="false">IF($B22="","",IFERROR(VLOOKUP($B22,顧客マスタ!$A$4:$F$15,2,FALSE()),""))</f>
        <v/>
      </c>
      <c r="I22" s="19" t="str">
        <f aca="false">IF($G22="","",TEXT($G22,"yyyy-mm"))</f>
        <v/>
      </c>
      <c r="J22" s="26"/>
      <c r="K22" s="49" t="str">
        <f aca="false">IF($A22="","",SUMIFS(外注管理!$I$4:$I$60,外注管理!$B$4:$B$60,$A22))</f>
        <v/>
      </c>
      <c r="L22" s="63"/>
      <c r="M22" s="46" t="str">
        <f aca="false">IF($J22="","",J22-K22)</f>
        <v/>
      </c>
      <c r="N22" s="64" t="str">
        <f aca="false">IF(OR($J22="",$J22=0),"",M22/J22)</f>
        <v/>
      </c>
      <c r="O22" s="46" t="str">
        <f aca="false">IF(OR($L22="",$L22=0),"",ROUND(M22/L22,0))</f>
        <v/>
      </c>
      <c r="Q22" s="41"/>
      <c r="R22" s="65" t="str">
        <f aca="false">IF($Q22="","",IFERROR(VLOOKUP($Q22,Theme_Master!$A$4:$B$22,2,FALSE()),""))</f>
        <v/>
      </c>
      <c r="S22" s="41"/>
      <c r="T22" s="66" t="str">
        <f aca="false">IF($Q22="","",IFERROR(VLOOKUP($Q22,Theme_Master!$A$4:$C$22,3,FALSE()),""))</f>
        <v/>
      </c>
      <c r="U22" s="66" t="str">
        <f aca="false">IF($B22="","",IFERROR(VLOOKUP($B22,顧客マスタ!$A$4:$E$15,5,FALSE()),""))</f>
        <v/>
      </c>
    </row>
    <row r="23" customFormat="false" ht="15" hidden="false" customHeight="true" outlineLevel="0" collapsed="false">
      <c r="B23" s="41"/>
      <c r="C23" s="54" t="str">
        <f aca="false">IF($B23="","",IFERROR(VLOOKUP($B23,顧客マスタ!$A$4:$F$15,2,FALSE()),""))</f>
        <v/>
      </c>
      <c r="I23" s="19" t="str">
        <f aca="false">IF($G23="","",TEXT($G23,"yyyy-mm"))</f>
        <v/>
      </c>
      <c r="J23" s="26"/>
      <c r="K23" s="49" t="str">
        <f aca="false">IF($A23="","",SUMIFS(外注管理!$I$4:$I$60,外注管理!$B$4:$B$60,$A23))</f>
        <v/>
      </c>
      <c r="L23" s="63"/>
      <c r="M23" s="46" t="str">
        <f aca="false">IF($J23="","",J23-K23)</f>
        <v/>
      </c>
      <c r="N23" s="64" t="str">
        <f aca="false">IF(OR($J23="",$J23=0),"",M23/J23)</f>
        <v/>
      </c>
      <c r="O23" s="46" t="str">
        <f aca="false">IF(OR($L23="",$L23=0),"",ROUND(M23/L23,0))</f>
        <v/>
      </c>
      <c r="Q23" s="41"/>
      <c r="R23" s="65" t="str">
        <f aca="false">IF($Q23="","",IFERROR(VLOOKUP($Q23,Theme_Master!$A$4:$B$22,2,FALSE()),""))</f>
        <v/>
      </c>
      <c r="S23" s="41"/>
      <c r="T23" s="66" t="str">
        <f aca="false">IF($Q23="","",IFERROR(VLOOKUP($Q23,Theme_Master!$A$4:$C$22,3,FALSE()),""))</f>
        <v/>
      </c>
      <c r="U23" s="66" t="str">
        <f aca="false">IF($B23="","",IFERROR(VLOOKUP($B23,顧客マスタ!$A$4:$E$15,5,FALSE()),""))</f>
        <v/>
      </c>
    </row>
    <row r="24" customFormat="false" ht="15" hidden="false" customHeight="true" outlineLevel="0" collapsed="false">
      <c r="B24" s="41"/>
      <c r="C24" s="54" t="str">
        <f aca="false">IF($B24="","",IFERROR(VLOOKUP($B24,顧客マスタ!$A$4:$F$15,2,FALSE()),""))</f>
        <v/>
      </c>
      <c r="I24" s="19" t="str">
        <f aca="false">IF($G24="","",TEXT($G24,"yyyy-mm"))</f>
        <v/>
      </c>
      <c r="J24" s="26"/>
      <c r="K24" s="49" t="str">
        <f aca="false">IF($A24="","",SUMIFS(外注管理!$I$4:$I$60,外注管理!$B$4:$B$60,$A24))</f>
        <v/>
      </c>
      <c r="L24" s="63"/>
      <c r="M24" s="46" t="str">
        <f aca="false">IF($J24="","",J24-K24)</f>
        <v/>
      </c>
      <c r="N24" s="64" t="str">
        <f aca="false">IF(OR($J24="",$J24=0),"",M24/J24)</f>
        <v/>
      </c>
      <c r="O24" s="46" t="str">
        <f aca="false">IF(OR($L24="",$L24=0),"",ROUND(M24/L24,0))</f>
        <v/>
      </c>
      <c r="Q24" s="41"/>
      <c r="R24" s="65" t="str">
        <f aca="false">IF($Q24="","",IFERROR(VLOOKUP($Q24,Theme_Master!$A$4:$B$22,2,FALSE()),""))</f>
        <v/>
      </c>
      <c r="S24" s="41"/>
      <c r="T24" s="66" t="str">
        <f aca="false">IF($Q24="","",IFERROR(VLOOKUP($Q24,Theme_Master!$A$4:$C$22,3,FALSE()),""))</f>
        <v/>
      </c>
      <c r="U24" s="66" t="str">
        <f aca="false">IF($B24="","",IFERROR(VLOOKUP($B24,顧客マスタ!$A$4:$E$15,5,FALSE()),""))</f>
        <v/>
      </c>
    </row>
    <row r="25" customFormat="false" ht="15" hidden="false" customHeight="true" outlineLevel="0" collapsed="false">
      <c r="B25" s="41"/>
      <c r="C25" s="54" t="str">
        <f aca="false">IF($B25="","",IFERROR(VLOOKUP($B25,顧客マスタ!$A$4:$F$15,2,FALSE()),""))</f>
        <v/>
      </c>
      <c r="I25" s="19" t="str">
        <f aca="false">IF($G25="","",TEXT($G25,"yyyy-mm"))</f>
        <v/>
      </c>
      <c r="J25" s="26"/>
      <c r="K25" s="49" t="str">
        <f aca="false">IF($A25="","",SUMIFS(外注管理!$I$4:$I$60,外注管理!$B$4:$B$60,$A25))</f>
        <v/>
      </c>
      <c r="L25" s="63"/>
      <c r="M25" s="46" t="str">
        <f aca="false">IF($J25="","",J25-K25)</f>
        <v/>
      </c>
      <c r="N25" s="64" t="str">
        <f aca="false">IF(OR($J25="",$J25=0),"",M25/J25)</f>
        <v/>
      </c>
      <c r="O25" s="46" t="str">
        <f aca="false">IF(OR($L25="",$L25=0),"",ROUND(M25/L25,0))</f>
        <v/>
      </c>
      <c r="Q25" s="41"/>
      <c r="R25" s="65" t="str">
        <f aca="false">IF($Q25="","",IFERROR(VLOOKUP($Q25,Theme_Master!$A$4:$B$22,2,FALSE()),""))</f>
        <v/>
      </c>
      <c r="S25" s="41"/>
      <c r="T25" s="66" t="str">
        <f aca="false">IF($Q25="","",IFERROR(VLOOKUP($Q25,Theme_Master!$A$4:$C$22,3,FALSE()),""))</f>
        <v/>
      </c>
      <c r="U25" s="66" t="str">
        <f aca="false">IF($B25="","",IFERROR(VLOOKUP($B25,顧客マスタ!$A$4:$E$15,5,FALSE()),""))</f>
        <v/>
      </c>
    </row>
    <row r="26" customFormat="false" ht="15" hidden="false" customHeight="true" outlineLevel="0" collapsed="false">
      <c r="B26" s="41"/>
      <c r="C26" s="54" t="str">
        <f aca="false">IF($B26="","",IFERROR(VLOOKUP($B26,顧客マスタ!$A$4:$F$15,2,FALSE()),""))</f>
        <v/>
      </c>
      <c r="I26" s="19" t="str">
        <f aca="false">IF($G26="","",TEXT($G26,"yyyy-mm"))</f>
        <v/>
      </c>
      <c r="J26" s="26"/>
      <c r="K26" s="49" t="str">
        <f aca="false">IF($A26="","",SUMIFS(外注管理!$I$4:$I$60,外注管理!$B$4:$B$60,$A26))</f>
        <v/>
      </c>
      <c r="L26" s="63"/>
      <c r="M26" s="46" t="str">
        <f aca="false">IF($J26="","",J26-K26)</f>
        <v/>
      </c>
      <c r="N26" s="64" t="str">
        <f aca="false">IF(OR($J26="",$J26=0),"",M26/J26)</f>
        <v/>
      </c>
      <c r="O26" s="46" t="str">
        <f aca="false">IF(OR($L26="",$L26=0),"",ROUND(M26/L26,0))</f>
        <v/>
      </c>
      <c r="Q26" s="41"/>
      <c r="R26" s="65" t="str">
        <f aca="false">IF($Q26="","",IFERROR(VLOOKUP($Q26,Theme_Master!$A$4:$B$22,2,FALSE()),""))</f>
        <v/>
      </c>
      <c r="S26" s="41"/>
      <c r="T26" s="66" t="str">
        <f aca="false">IF($Q26="","",IFERROR(VLOOKUP($Q26,Theme_Master!$A$4:$C$22,3,FALSE()),""))</f>
        <v/>
      </c>
      <c r="U26" s="66" t="str">
        <f aca="false">IF($B26="","",IFERROR(VLOOKUP($B26,顧客マスタ!$A$4:$E$15,5,FALSE()),""))</f>
        <v/>
      </c>
    </row>
    <row r="27" customFormat="false" ht="15" hidden="false" customHeight="true" outlineLevel="0" collapsed="false">
      <c r="B27" s="41"/>
      <c r="C27" s="54" t="str">
        <f aca="false">IF($B27="","",IFERROR(VLOOKUP($B27,顧客マスタ!$A$4:$F$15,2,FALSE()),""))</f>
        <v/>
      </c>
      <c r="I27" s="19" t="str">
        <f aca="false">IF($G27="","",TEXT($G27,"yyyy-mm"))</f>
        <v/>
      </c>
      <c r="J27" s="26"/>
      <c r="K27" s="49" t="str">
        <f aca="false">IF($A27="","",SUMIFS(外注管理!$I$4:$I$60,外注管理!$B$4:$B$60,$A27))</f>
        <v/>
      </c>
      <c r="L27" s="63"/>
      <c r="M27" s="46" t="str">
        <f aca="false">IF($J27="","",J27-K27)</f>
        <v/>
      </c>
      <c r="N27" s="64" t="str">
        <f aca="false">IF(OR($J27="",$J27=0),"",M27/J27)</f>
        <v/>
      </c>
      <c r="O27" s="46" t="str">
        <f aca="false">IF(OR($L27="",$L27=0),"",ROUND(M27/L27,0))</f>
        <v/>
      </c>
      <c r="Q27" s="41"/>
      <c r="R27" s="65" t="str">
        <f aca="false">IF($Q27="","",IFERROR(VLOOKUP($Q27,Theme_Master!$A$4:$B$22,2,FALSE()),""))</f>
        <v/>
      </c>
      <c r="S27" s="41"/>
      <c r="T27" s="66" t="str">
        <f aca="false">IF($Q27="","",IFERROR(VLOOKUP($Q27,Theme_Master!$A$4:$C$22,3,FALSE()),""))</f>
        <v/>
      </c>
      <c r="U27" s="66" t="str">
        <f aca="false">IF($B27="","",IFERROR(VLOOKUP($B27,顧客マスタ!$A$4:$E$15,5,FALSE()),""))</f>
        <v/>
      </c>
    </row>
    <row r="28" customFormat="false" ht="15" hidden="false" customHeight="true" outlineLevel="0" collapsed="false">
      <c r="B28" s="41"/>
      <c r="C28" s="54" t="str">
        <f aca="false">IF($B28="","",IFERROR(VLOOKUP($B28,顧客マスタ!$A$4:$F$15,2,FALSE()),""))</f>
        <v/>
      </c>
      <c r="I28" s="19" t="str">
        <f aca="false">IF($G28="","",TEXT($G28,"yyyy-mm"))</f>
        <v/>
      </c>
      <c r="J28" s="26"/>
      <c r="K28" s="49" t="str">
        <f aca="false">IF($A28="","",SUMIFS(外注管理!$I$4:$I$60,外注管理!$B$4:$B$60,$A28))</f>
        <v/>
      </c>
      <c r="L28" s="63"/>
      <c r="M28" s="46" t="str">
        <f aca="false">IF($J28="","",J28-K28)</f>
        <v/>
      </c>
      <c r="N28" s="64" t="str">
        <f aca="false">IF(OR($J28="",$J28=0),"",M28/J28)</f>
        <v/>
      </c>
      <c r="O28" s="46" t="str">
        <f aca="false">IF(OR($L28="",$L28=0),"",ROUND(M28/L28,0))</f>
        <v/>
      </c>
      <c r="Q28" s="41"/>
      <c r="R28" s="65" t="str">
        <f aca="false">IF($Q28="","",IFERROR(VLOOKUP($Q28,Theme_Master!$A$4:$B$22,2,FALSE()),""))</f>
        <v/>
      </c>
      <c r="S28" s="41"/>
      <c r="T28" s="66" t="str">
        <f aca="false">IF($Q28="","",IFERROR(VLOOKUP($Q28,Theme_Master!$A$4:$C$22,3,FALSE()),""))</f>
        <v/>
      </c>
      <c r="U28" s="66" t="str">
        <f aca="false">IF($B28="","",IFERROR(VLOOKUP($B28,顧客マスタ!$A$4:$E$15,5,FALSE()),""))</f>
        <v/>
      </c>
    </row>
    <row r="29" customFormat="false" ht="15" hidden="false" customHeight="true" outlineLevel="0" collapsed="false">
      <c r="B29" s="41"/>
      <c r="C29" s="54" t="str">
        <f aca="false">IF($B29="","",IFERROR(VLOOKUP($B29,顧客マスタ!$A$4:$F$15,2,FALSE()),""))</f>
        <v/>
      </c>
      <c r="I29" s="19" t="str">
        <f aca="false">IF($G29="","",TEXT($G29,"yyyy-mm"))</f>
        <v/>
      </c>
      <c r="J29" s="26"/>
      <c r="K29" s="49" t="str">
        <f aca="false">IF($A29="","",SUMIFS(外注管理!$I$4:$I$60,外注管理!$B$4:$B$60,$A29))</f>
        <v/>
      </c>
      <c r="L29" s="63"/>
      <c r="M29" s="46" t="str">
        <f aca="false">IF($J29="","",J29-K29)</f>
        <v/>
      </c>
      <c r="N29" s="64" t="str">
        <f aca="false">IF(OR($J29="",$J29=0),"",M29/J29)</f>
        <v/>
      </c>
      <c r="O29" s="46" t="str">
        <f aca="false">IF(OR($L29="",$L29=0),"",ROUND(M29/L29,0))</f>
        <v/>
      </c>
      <c r="Q29" s="41"/>
      <c r="R29" s="65" t="str">
        <f aca="false">IF($Q29="","",IFERROR(VLOOKUP($Q29,Theme_Master!$A$4:$B$22,2,FALSE()),""))</f>
        <v/>
      </c>
      <c r="S29" s="41"/>
      <c r="T29" s="66" t="str">
        <f aca="false">IF($Q29="","",IFERROR(VLOOKUP($Q29,Theme_Master!$A$4:$C$22,3,FALSE()),""))</f>
        <v/>
      </c>
      <c r="U29" s="66" t="str">
        <f aca="false">IF($B29="","",IFERROR(VLOOKUP($B29,顧客マスタ!$A$4:$E$15,5,FALSE()),""))</f>
        <v/>
      </c>
    </row>
    <row r="30" customFormat="false" ht="15" hidden="false" customHeight="true" outlineLevel="0" collapsed="false">
      <c r="B30" s="41"/>
      <c r="C30" s="54" t="str">
        <f aca="false">IF($B30="","",IFERROR(VLOOKUP($B30,顧客マスタ!$A$4:$F$15,2,FALSE()),""))</f>
        <v/>
      </c>
      <c r="I30" s="19" t="str">
        <f aca="false">IF($G30="","",TEXT($G30,"yyyy-mm"))</f>
        <v/>
      </c>
      <c r="J30" s="26"/>
      <c r="K30" s="49" t="str">
        <f aca="false">IF($A30="","",SUMIFS(外注管理!$I$4:$I$60,外注管理!$B$4:$B$60,$A30))</f>
        <v/>
      </c>
      <c r="L30" s="63"/>
      <c r="M30" s="46" t="str">
        <f aca="false">IF($J30="","",J30-K30)</f>
        <v/>
      </c>
      <c r="N30" s="64" t="str">
        <f aca="false">IF(OR($J30="",$J30=0),"",M30/J30)</f>
        <v/>
      </c>
      <c r="O30" s="46" t="str">
        <f aca="false">IF(OR($L30="",$L30=0),"",ROUND(M30/L30,0))</f>
        <v/>
      </c>
      <c r="Q30" s="41"/>
      <c r="R30" s="65" t="str">
        <f aca="false">IF($Q30="","",IFERROR(VLOOKUP($Q30,Theme_Master!$A$4:$B$22,2,FALSE()),""))</f>
        <v/>
      </c>
      <c r="S30" s="41"/>
      <c r="T30" s="66" t="str">
        <f aca="false">IF($Q30="","",IFERROR(VLOOKUP($Q30,Theme_Master!$A$4:$C$22,3,FALSE()),""))</f>
        <v/>
      </c>
      <c r="U30" s="66" t="str">
        <f aca="false">IF($B30="","",IFERROR(VLOOKUP($B30,顧客マスタ!$A$4:$E$15,5,FALSE()),""))</f>
        <v/>
      </c>
    </row>
    <row r="31" customFormat="false" ht="15" hidden="false" customHeight="true" outlineLevel="0" collapsed="false">
      <c r="B31" s="41"/>
      <c r="C31" s="54" t="str">
        <f aca="false">IF($B31="","",IFERROR(VLOOKUP($B31,顧客マスタ!$A$4:$F$15,2,FALSE()),""))</f>
        <v/>
      </c>
      <c r="I31" s="19" t="str">
        <f aca="false">IF($G31="","",TEXT($G31,"yyyy-mm"))</f>
        <v/>
      </c>
      <c r="J31" s="26"/>
      <c r="K31" s="49" t="str">
        <f aca="false">IF($A31="","",SUMIFS(外注管理!$I$4:$I$60,外注管理!$B$4:$B$60,$A31))</f>
        <v/>
      </c>
      <c r="L31" s="63"/>
      <c r="M31" s="46" t="str">
        <f aca="false">IF($J31="","",J31-K31)</f>
        <v/>
      </c>
      <c r="N31" s="64" t="str">
        <f aca="false">IF(OR($J31="",$J31=0),"",M31/J31)</f>
        <v/>
      </c>
      <c r="O31" s="46" t="str">
        <f aca="false">IF(OR($L31="",$L31=0),"",ROUND(M31/L31,0))</f>
        <v/>
      </c>
      <c r="Q31" s="41"/>
      <c r="R31" s="65" t="str">
        <f aca="false">IF($Q31="","",IFERROR(VLOOKUP($Q31,Theme_Master!$A$4:$B$22,2,FALSE()),""))</f>
        <v/>
      </c>
      <c r="S31" s="41"/>
      <c r="T31" s="66" t="str">
        <f aca="false">IF($Q31="","",IFERROR(VLOOKUP($Q31,Theme_Master!$A$4:$C$22,3,FALSE()),""))</f>
        <v/>
      </c>
      <c r="U31" s="66" t="str">
        <f aca="false">IF($B31="","",IFERROR(VLOOKUP($B31,顧客マスタ!$A$4:$E$15,5,FALSE()),""))</f>
        <v/>
      </c>
    </row>
    <row r="32" customFormat="false" ht="15" hidden="false" customHeight="true" outlineLevel="0" collapsed="false">
      <c r="B32" s="41"/>
      <c r="C32" s="54" t="str">
        <f aca="false">IF($B32="","",IFERROR(VLOOKUP($B32,顧客マスタ!$A$4:$F$15,2,FALSE()),""))</f>
        <v/>
      </c>
      <c r="I32" s="19" t="str">
        <f aca="false">IF($G32="","",TEXT($G32,"yyyy-mm"))</f>
        <v/>
      </c>
      <c r="J32" s="26"/>
      <c r="K32" s="49" t="str">
        <f aca="false">IF($A32="","",SUMIFS(外注管理!$I$4:$I$60,外注管理!$B$4:$B$60,$A32))</f>
        <v/>
      </c>
      <c r="L32" s="63"/>
      <c r="M32" s="46" t="str">
        <f aca="false">IF($J32="","",J32-K32)</f>
        <v/>
      </c>
      <c r="N32" s="64" t="str">
        <f aca="false">IF(OR($J32="",$J32=0),"",M32/J32)</f>
        <v/>
      </c>
      <c r="O32" s="46" t="str">
        <f aca="false">IF(OR($L32="",$L32=0),"",ROUND(M32/L32,0))</f>
        <v/>
      </c>
      <c r="Q32" s="41"/>
      <c r="R32" s="65" t="str">
        <f aca="false">IF($Q32="","",IFERROR(VLOOKUP($Q32,Theme_Master!$A$4:$B$22,2,FALSE()),""))</f>
        <v/>
      </c>
      <c r="S32" s="41"/>
      <c r="T32" s="66" t="str">
        <f aca="false">IF($Q32="","",IFERROR(VLOOKUP($Q32,Theme_Master!$A$4:$C$22,3,FALSE()),""))</f>
        <v/>
      </c>
      <c r="U32" s="66" t="str">
        <f aca="false">IF($B32="","",IFERROR(VLOOKUP($B32,顧客マスタ!$A$4:$E$15,5,FALSE()),""))</f>
        <v/>
      </c>
    </row>
    <row r="33" customFormat="false" ht="15" hidden="false" customHeight="true" outlineLevel="0" collapsed="false">
      <c r="B33" s="41"/>
      <c r="C33" s="54" t="str">
        <f aca="false">IF($B33="","",IFERROR(VLOOKUP($B33,顧客マスタ!$A$4:$F$15,2,FALSE()),""))</f>
        <v/>
      </c>
      <c r="I33" s="19" t="str">
        <f aca="false">IF($G33="","",TEXT($G33,"yyyy-mm"))</f>
        <v/>
      </c>
      <c r="J33" s="26"/>
      <c r="K33" s="49" t="str">
        <f aca="false">IF($A33="","",SUMIFS(外注管理!$I$4:$I$60,外注管理!$B$4:$B$60,$A33))</f>
        <v/>
      </c>
      <c r="L33" s="63"/>
      <c r="M33" s="46" t="str">
        <f aca="false">IF($J33="","",J33-K33)</f>
        <v/>
      </c>
      <c r="N33" s="64" t="str">
        <f aca="false">IF(OR($J33="",$J33=0),"",M33/J33)</f>
        <v/>
      </c>
      <c r="O33" s="46" t="str">
        <f aca="false">IF(OR($L33="",$L33=0),"",ROUND(M33/L33,0))</f>
        <v/>
      </c>
      <c r="Q33" s="41"/>
      <c r="R33" s="65" t="str">
        <f aca="false">IF($Q33="","",IFERROR(VLOOKUP($Q33,Theme_Master!$A$4:$B$22,2,FALSE()),""))</f>
        <v/>
      </c>
      <c r="S33" s="41"/>
      <c r="T33" s="66" t="str">
        <f aca="false">IF($Q33="","",IFERROR(VLOOKUP($Q33,Theme_Master!$A$4:$C$22,3,FALSE()),""))</f>
        <v/>
      </c>
      <c r="U33" s="66" t="str">
        <f aca="false">IF($B33="","",IFERROR(VLOOKUP($B33,顧客マスタ!$A$4:$E$15,5,FALSE()),""))</f>
        <v/>
      </c>
    </row>
    <row r="34" customFormat="false" ht="15" hidden="false" customHeight="true" outlineLevel="0" collapsed="false">
      <c r="B34" s="41"/>
      <c r="C34" s="54" t="str">
        <f aca="false">IF($B34="","",IFERROR(VLOOKUP($B34,顧客マスタ!$A$4:$F$15,2,FALSE()),""))</f>
        <v/>
      </c>
      <c r="I34" s="19" t="str">
        <f aca="false">IF($G34="","",TEXT($G34,"yyyy-mm"))</f>
        <v/>
      </c>
      <c r="J34" s="26"/>
      <c r="K34" s="49" t="str">
        <f aca="false">IF($A34="","",SUMIFS(外注管理!$I$4:$I$60,外注管理!$B$4:$B$60,$A34))</f>
        <v/>
      </c>
      <c r="L34" s="63"/>
      <c r="M34" s="46" t="str">
        <f aca="false">IF($J34="","",J34-K34)</f>
        <v/>
      </c>
      <c r="N34" s="64" t="str">
        <f aca="false">IF(OR($J34="",$J34=0),"",M34/J34)</f>
        <v/>
      </c>
      <c r="O34" s="46" t="str">
        <f aca="false">IF(OR($L34="",$L34=0),"",ROUND(M34/L34,0))</f>
        <v/>
      </c>
      <c r="Q34" s="41"/>
      <c r="R34" s="65" t="str">
        <f aca="false">IF($Q34="","",IFERROR(VLOOKUP($Q34,Theme_Master!$A$4:$B$22,2,FALSE()),""))</f>
        <v/>
      </c>
      <c r="S34" s="41"/>
      <c r="T34" s="66" t="str">
        <f aca="false">IF($Q34="","",IFERROR(VLOOKUP($Q34,Theme_Master!$A$4:$C$22,3,FALSE()),""))</f>
        <v/>
      </c>
      <c r="U34" s="66" t="str">
        <f aca="false">IF($B34="","",IFERROR(VLOOKUP($B34,顧客マスタ!$A$4:$E$15,5,FALSE()),""))</f>
        <v/>
      </c>
    </row>
    <row r="35" customFormat="false" ht="15" hidden="false" customHeight="true" outlineLevel="0" collapsed="false">
      <c r="B35" s="41"/>
      <c r="C35" s="54" t="str">
        <f aca="false">IF($B35="","",IFERROR(VLOOKUP($B35,顧客マスタ!$A$4:$F$15,2,FALSE()),""))</f>
        <v/>
      </c>
      <c r="I35" s="19" t="str">
        <f aca="false">IF($G35="","",TEXT($G35,"yyyy-mm"))</f>
        <v/>
      </c>
      <c r="J35" s="26"/>
      <c r="K35" s="49" t="str">
        <f aca="false">IF($A35="","",SUMIFS(外注管理!$I$4:$I$60,外注管理!$B$4:$B$60,$A35))</f>
        <v/>
      </c>
      <c r="L35" s="63"/>
      <c r="M35" s="46" t="str">
        <f aca="false">IF($J35="","",J35-K35)</f>
        <v/>
      </c>
      <c r="N35" s="64" t="str">
        <f aca="false">IF(OR($J35="",$J35=0),"",M35/J35)</f>
        <v/>
      </c>
      <c r="O35" s="46" t="str">
        <f aca="false">IF(OR($L35="",$L35=0),"",ROUND(M35/L35,0))</f>
        <v/>
      </c>
      <c r="Q35" s="41"/>
      <c r="R35" s="65" t="str">
        <f aca="false">IF($Q35="","",IFERROR(VLOOKUP($Q35,Theme_Master!$A$4:$B$22,2,FALSE()),""))</f>
        <v/>
      </c>
      <c r="S35" s="41"/>
      <c r="T35" s="66" t="str">
        <f aca="false">IF($Q35="","",IFERROR(VLOOKUP($Q35,Theme_Master!$A$4:$C$22,3,FALSE()),""))</f>
        <v/>
      </c>
      <c r="U35" s="66" t="str">
        <f aca="false">IF($B35="","",IFERROR(VLOOKUP($B35,顧客マスタ!$A$4:$E$15,5,FALSE()),""))</f>
        <v/>
      </c>
    </row>
    <row r="36" customFormat="false" ht="15" hidden="false" customHeight="true" outlineLevel="0" collapsed="false">
      <c r="B36" s="41"/>
      <c r="C36" s="54" t="str">
        <f aca="false">IF($B36="","",IFERROR(VLOOKUP($B36,顧客マスタ!$A$4:$F$15,2,FALSE()),""))</f>
        <v/>
      </c>
      <c r="I36" s="19" t="str">
        <f aca="false">IF($G36="","",TEXT($G36,"yyyy-mm"))</f>
        <v/>
      </c>
      <c r="J36" s="26"/>
      <c r="K36" s="49" t="str">
        <f aca="false">IF($A36="","",SUMIFS(外注管理!$I$4:$I$60,外注管理!$B$4:$B$60,$A36))</f>
        <v/>
      </c>
      <c r="L36" s="63"/>
      <c r="M36" s="46" t="str">
        <f aca="false">IF($J36="","",J36-K36)</f>
        <v/>
      </c>
      <c r="N36" s="64" t="str">
        <f aca="false">IF(OR($J36="",$J36=0),"",M36/J36)</f>
        <v/>
      </c>
      <c r="O36" s="46" t="str">
        <f aca="false">IF(OR($L36="",$L36=0),"",ROUND(M36/L36,0))</f>
        <v/>
      </c>
      <c r="Q36" s="41"/>
      <c r="R36" s="65" t="str">
        <f aca="false">IF($Q36="","",IFERROR(VLOOKUP($Q36,Theme_Master!$A$4:$B$22,2,FALSE()),""))</f>
        <v/>
      </c>
      <c r="S36" s="41"/>
      <c r="T36" s="66" t="str">
        <f aca="false">IF($Q36="","",IFERROR(VLOOKUP($Q36,Theme_Master!$A$4:$C$22,3,FALSE()),""))</f>
        <v/>
      </c>
      <c r="U36" s="66" t="str">
        <f aca="false">IF($B36="","",IFERROR(VLOOKUP($B36,顧客マスタ!$A$4:$E$15,5,FALSE()),""))</f>
        <v/>
      </c>
    </row>
    <row r="37" customFormat="false" ht="15" hidden="false" customHeight="true" outlineLevel="0" collapsed="false">
      <c r="B37" s="41"/>
      <c r="C37" s="54" t="str">
        <f aca="false">IF($B37="","",IFERROR(VLOOKUP($B37,顧客マスタ!$A$4:$F$15,2,FALSE()),""))</f>
        <v/>
      </c>
      <c r="I37" s="19" t="str">
        <f aca="false">IF($G37="","",TEXT($G37,"yyyy-mm"))</f>
        <v/>
      </c>
      <c r="J37" s="26"/>
      <c r="K37" s="49" t="str">
        <f aca="false">IF($A37="","",SUMIFS(外注管理!$I$4:$I$60,外注管理!$B$4:$B$60,$A37))</f>
        <v/>
      </c>
      <c r="L37" s="63"/>
      <c r="M37" s="46" t="str">
        <f aca="false">IF($J37="","",J37-K37)</f>
        <v/>
      </c>
      <c r="N37" s="64" t="str">
        <f aca="false">IF(OR($J37="",$J37=0),"",M37/J37)</f>
        <v/>
      </c>
      <c r="O37" s="46" t="str">
        <f aca="false">IF(OR($L37="",$L37=0),"",ROUND(M37/L37,0))</f>
        <v/>
      </c>
      <c r="Q37" s="41"/>
      <c r="R37" s="65" t="str">
        <f aca="false">IF($Q37="","",IFERROR(VLOOKUP($Q37,Theme_Master!$A$4:$B$22,2,FALSE()),""))</f>
        <v/>
      </c>
      <c r="S37" s="41"/>
      <c r="T37" s="66" t="str">
        <f aca="false">IF($Q37="","",IFERROR(VLOOKUP($Q37,Theme_Master!$A$4:$C$22,3,FALSE()),""))</f>
        <v/>
      </c>
      <c r="U37" s="66" t="str">
        <f aca="false">IF($B37="","",IFERROR(VLOOKUP($B37,顧客マスタ!$A$4:$E$15,5,FALSE()),""))</f>
        <v/>
      </c>
    </row>
    <row r="38" customFormat="false" ht="15" hidden="false" customHeight="true" outlineLevel="0" collapsed="false">
      <c r="B38" s="41"/>
      <c r="C38" s="54" t="str">
        <f aca="false">IF($B38="","",IFERROR(VLOOKUP($B38,顧客マスタ!$A$4:$F$15,2,FALSE()),""))</f>
        <v/>
      </c>
      <c r="I38" s="19" t="str">
        <f aca="false">IF($G38="","",TEXT($G38,"yyyy-mm"))</f>
        <v/>
      </c>
      <c r="J38" s="26"/>
      <c r="K38" s="49" t="str">
        <f aca="false">IF($A38="","",SUMIFS(外注管理!$I$4:$I$60,外注管理!$B$4:$B$60,$A38))</f>
        <v/>
      </c>
      <c r="L38" s="63"/>
      <c r="M38" s="46" t="str">
        <f aca="false">IF($J38="","",J38-K38)</f>
        <v/>
      </c>
      <c r="N38" s="64" t="str">
        <f aca="false">IF(OR($J38="",$J38=0),"",M38/J38)</f>
        <v/>
      </c>
      <c r="O38" s="46" t="str">
        <f aca="false">IF(OR($L38="",$L38=0),"",ROUND(M38/L38,0))</f>
        <v/>
      </c>
      <c r="Q38" s="41"/>
      <c r="R38" s="65" t="str">
        <f aca="false">IF($Q38="","",IFERROR(VLOOKUP($Q38,Theme_Master!$A$4:$B$22,2,FALSE()),""))</f>
        <v/>
      </c>
      <c r="S38" s="41"/>
      <c r="T38" s="66" t="str">
        <f aca="false">IF($Q38="","",IFERROR(VLOOKUP($Q38,Theme_Master!$A$4:$C$22,3,FALSE()),""))</f>
        <v/>
      </c>
      <c r="U38" s="66" t="str">
        <f aca="false">IF($B38="","",IFERROR(VLOOKUP($B38,顧客マスタ!$A$4:$E$15,5,FALSE()),""))</f>
        <v/>
      </c>
    </row>
    <row r="39" customFormat="false" ht="15" hidden="false" customHeight="true" outlineLevel="0" collapsed="false">
      <c r="B39" s="41"/>
      <c r="C39" s="54" t="str">
        <f aca="false">IF($B39="","",IFERROR(VLOOKUP($B39,顧客マスタ!$A$4:$F$15,2,FALSE()),""))</f>
        <v/>
      </c>
      <c r="I39" s="19" t="str">
        <f aca="false">IF($G39="","",TEXT($G39,"yyyy-mm"))</f>
        <v/>
      </c>
      <c r="J39" s="26"/>
      <c r="K39" s="49" t="str">
        <f aca="false">IF($A39="","",SUMIFS(外注管理!$I$4:$I$60,外注管理!$B$4:$B$60,$A39))</f>
        <v/>
      </c>
      <c r="L39" s="63"/>
      <c r="M39" s="46" t="str">
        <f aca="false">IF($J39="","",J39-K39)</f>
        <v/>
      </c>
      <c r="N39" s="64" t="str">
        <f aca="false">IF(OR($J39="",$J39=0),"",M39/J39)</f>
        <v/>
      </c>
      <c r="O39" s="46" t="str">
        <f aca="false">IF(OR($L39="",$L39=0),"",ROUND(M39/L39,0))</f>
        <v/>
      </c>
      <c r="Q39" s="41"/>
      <c r="R39" s="65" t="str">
        <f aca="false">IF($Q39="","",IFERROR(VLOOKUP($Q39,Theme_Master!$A$4:$B$22,2,FALSE()),""))</f>
        <v/>
      </c>
      <c r="S39" s="41"/>
      <c r="T39" s="66" t="str">
        <f aca="false">IF($Q39="","",IFERROR(VLOOKUP($Q39,Theme_Master!$A$4:$C$22,3,FALSE()),""))</f>
        <v/>
      </c>
      <c r="U39" s="66" t="str">
        <f aca="false">IF($B39="","",IFERROR(VLOOKUP($B39,顧客マスタ!$A$4:$E$15,5,FALSE()),""))</f>
        <v/>
      </c>
    </row>
    <row r="40" customFormat="false" ht="15" hidden="false" customHeight="true" outlineLevel="0" collapsed="false">
      <c r="B40" s="41"/>
      <c r="C40" s="54" t="str">
        <f aca="false">IF($B40="","",IFERROR(VLOOKUP($B40,顧客マスタ!$A$4:$F$15,2,FALSE()),""))</f>
        <v/>
      </c>
      <c r="I40" s="19" t="str">
        <f aca="false">IF($G40="","",TEXT($G40,"yyyy-mm"))</f>
        <v/>
      </c>
      <c r="J40" s="26"/>
      <c r="K40" s="49" t="str">
        <f aca="false">IF($A40="","",SUMIFS(外注管理!$I$4:$I$60,外注管理!$B$4:$B$60,$A40))</f>
        <v/>
      </c>
      <c r="L40" s="63"/>
      <c r="M40" s="46" t="str">
        <f aca="false">IF($J40="","",J40-K40)</f>
        <v/>
      </c>
      <c r="N40" s="64" t="str">
        <f aca="false">IF(OR($J40="",$J40=0),"",M40/J40)</f>
        <v/>
      </c>
      <c r="O40" s="46" t="str">
        <f aca="false">IF(OR($L40="",$L40=0),"",ROUND(M40/L40,0))</f>
        <v/>
      </c>
      <c r="Q40" s="41"/>
      <c r="R40" s="65" t="str">
        <f aca="false">IF($Q40="","",IFERROR(VLOOKUP($Q40,Theme_Master!$A$4:$B$22,2,FALSE()),""))</f>
        <v/>
      </c>
      <c r="S40" s="41"/>
      <c r="T40" s="66" t="str">
        <f aca="false">IF($Q40="","",IFERROR(VLOOKUP($Q40,Theme_Master!$A$4:$C$22,3,FALSE()),""))</f>
        <v/>
      </c>
      <c r="U40" s="66" t="str">
        <f aca="false">IF($B40="","",IFERROR(VLOOKUP($B40,顧客マスタ!$A$4:$E$15,5,FALSE()),""))</f>
        <v/>
      </c>
    </row>
    <row r="41" customFormat="false" ht="15" hidden="false" customHeight="true" outlineLevel="0" collapsed="false">
      <c r="B41" s="41"/>
      <c r="C41" s="54" t="str">
        <f aca="false">IF($B41="","",IFERROR(VLOOKUP($B41,顧客マスタ!$A$4:$F$15,2,FALSE()),""))</f>
        <v/>
      </c>
      <c r="I41" s="19" t="str">
        <f aca="false">IF($G41="","",TEXT($G41,"yyyy-mm"))</f>
        <v/>
      </c>
      <c r="J41" s="26"/>
      <c r="K41" s="49" t="str">
        <f aca="false">IF($A41="","",SUMIFS(外注管理!$I$4:$I$60,外注管理!$B$4:$B$60,$A41))</f>
        <v/>
      </c>
      <c r="L41" s="63"/>
      <c r="M41" s="46" t="str">
        <f aca="false">IF($J41="","",J41-K41)</f>
        <v/>
      </c>
      <c r="N41" s="64" t="str">
        <f aca="false">IF(OR($J41="",$J41=0),"",M41/J41)</f>
        <v/>
      </c>
      <c r="O41" s="46" t="str">
        <f aca="false">IF(OR($L41="",$L41=0),"",ROUND(M41/L41,0))</f>
        <v/>
      </c>
      <c r="Q41" s="41"/>
      <c r="R41" s="65" t="str">
        <f aca="false">IF($Q41="","",IFERROR(VLOOKUP($Q41,Theme_Master!$A$4:$B$22,2,FALSE()),""))</f>
        <v/>
      </c>
      <c r="S41" s="41"/>
      <c r="T41" s="66" t="str">
        <f aca="false">IF($Q41="","",IFERROR(VLOOKUP($Q41,Theme_Master!$A$4:$C$22,3,FALSE()),""))</f>
        <v/>
      </c>
      <c r="U41" s="66" t="str">
        <f aca="false">IF($B41="","",IFERROR(VLOOKUP($B41,顧客マスタ!$A$4:$E$15,5,FALSE()),""))</f>
        <v/>
      </c>
    </row>
    <row r="42" customFormat="false" ht="15" hidden="false" customHeight="true" outlineLevel="0" collapsed="false">
      <c r="B42" s="41"/>
      <c r="C42" s="54" t="str">
        <f aca="false">IF($B42="","",IFERROR(VLOOKUP($B42,顧客マスタ!$A$4:$F$15,2,FALSE()),""))</f>
        <v/>
      </c>
      <c r="I42" s="19" t="str">
        <f aca="false">IF($G42="","",TEXT($G42,"yyyy-mm"))</f>
        <v/>
      </c>
      <c r="J42" s="26"/>
      <c r="K42" s="49" t="str">
        <f aca="false">IF($A42="","",SUMIFS(外注管理!$I$4:$I$60,外注管理!$B$4:$B$60,$A42))</f>
        <v/>
      </c>
      <c r="L42" s="63"/>
      <c r="M42" s="46" t="str">
        <f aca="false">IF($J42="","",J42-K42)</f>
        <v/>
      </c>
      <c r="N42" s="64" t="str">
        <f aca="false">IF(OR($J42="",$J42=0),"",M42/J42)</f>
        <v/>
      </c>
      <c r="O42" s="46" t="str">
        <f aca="false">IF(OR($L42="",$L42=0),"",ROUND(M42/L42,0))</f>
        <v/>
      </c>
      <c r="Q42" s="41"/>
      <c r="R42" s="65" t="str">
        <f aca="false">IF($Q42="","",IFERROR(VLOOKUP($Q42,Theme_Master!$A$4:$B$22,2,FALSE()),""))</f>
        <v/>
      </c>
      <c r="S42" s="41"/>
      <c r="T42" s="66" t="str">
        <f aca="false">IF($Q42="","",IFERROR(VLOOKUP($Q42,Theme_Master!$A$4:$C$22,3,FALSE()),""))</f>
        <v/>
      </c>
      <c r="U42" s="66" t="str">
        <f aca="false">IF($B42="","",IFERROR(VLOOKUP($B42,顧客マスタ!$A$4:$E$15,5,FALSE()),""))</f>
        <v/>
      </c>
    </row>
    <row r="43" customFormat="false" ht="15" hidden="false" customHeight="true" outlineLevel="0" collapsed="false">
      <c r="B43" s="41"/>
      <c r="C43" s="54" t="str">
        <f aca="false">IF($B43="","",IFERROR(VLOOKUP($B43,顧客マスタ!$A$4:$F$15,2,FALSE()),""))</f>
        <v/>
      </c>
      <c r="I43" s="19" t="str">
        <f aca="false">IF($G43="","",TEXT($G43,"yyyy-mm"))</f>
        <v/>
      </c>
      <c r="J43" s="26"/>
      <c r="K43" s="49" t="str">
        <f aca="false">IF($A43="","",SUMIFS(外注管理!$I$4:$I$60,外注管理!$B$4:$B$60,$A43))</f>
        <v/>
      </c>
      <c r="L43" s="63"/>
      <c r="M43" s="46" t="str">
        <f aca="false">IF($J43="","",J43-K43)</f>
        <v/>
      </c>
      <c r="N43" s="64" t="str">
        <f aca="false">IF(OR($J43="",$J43=0),"",M43/J43)</f>
        <v/>
      </c>
      <c r="O43" s="46" t="str">
        <f aca="false">IF(OR($L43="",$L43=0),"",ROUND(M43/L43,0))</f>
        <v/>
      </c>
      <c r="Q43" s="41"/>
      <c r="R43" s="65" t="str">
        <f aca="false">IF($Q43="","",IFERROR(VLOOKUP($Q43,Theme_Master!$A$4:$B$22,2,FALSE()),""))</f>
        <v/>
      </c>
      <c r="S43" s="41"/>
      <c r="T43" s="66" t="str">
        <f aca="false">IF($Q43="","",IFERROR(VLOOKUP($Q43,Theme_Master!$A$4:$C$22,3,FALSE()),""))</f>
        <v/>
      </c>
      <c r="U43" s="66" t="str">
        <f aca="false">IF($B43="","",IFERROR(VLOOKUP($B43,顧客マスタ!$A$4:$E$15,5,FALSE()),""))</f>
        <v/>
      </c>
    </row>
    <row r="44" customFormat="false" ht="15" hidden="false" customHeight="true" outlineLevel="0" collapsed="false">
      <c r="B44" s="41"/>
      <c r="C44" s="54" t="str">
        <f aca="false">IF($B44="","",IFERROR(VLOOKUP($B44,顧客マスタ!$A$4:$F$15,2,FALSE()),""))</f>
        <v/>
      </c>
      <c r="I44" s="19" t="str">
        <f aca="false">IF($G44="","",TEXT($G44,"yyyy-mm"))</f>
        <v/>
      </c>
      <c r="J44" s="26"/>
      <c r="K44" s="49" t="str">
        <f aca="false">IF($A44="","",SUMIFS(外注管理!$I$4:$I$60,外注管理!$B$4:$B$60,$A44))</f>
        <v/>
      </c>
      <c r="L44" s="63"/>
      <c r="M44" s="46" t="str">
        <f aca="false">IF($J44="","",J44-K44)</f>
        <v/>
      </c>
      <c r="N44" s="64" t="str">
        <f aca="false">IF(OR($J44="",$J44=0),"",M44/J44)</f>
        <v/>
      </c>
      <c r="O44" s="46" t="str">
        <f aca="false">IF(OR($L44="",$L44=0),"",ROUND(M44/L44,0))</f>
        <v/>
      </c>
      <c r="Q44" s="41"/>
      <c r="R44" s="65" t="str">
        <f aca="false">IF($Q44="","",IFERROR(VLOOKUP($Q44,Theme_Master!$A$4:$B$22,2,FALSE()),""))</f>
        <v/>
      </c>
      <c r="S44" s="41"/>
      <c r="T44" s="66" t="str">
        <f aca="false">IF($Q44="","",IFERROR(VLOOKUP($Q44,Theme_Master!$A$4:$C$22,3,FALSE()),""))</f>
        <v/>
      </c>
      <c r="U44" s="66" t="str">
        <f aca="false">IF($B44="","",IFERROR(VLOOKUP($B44,顧客マスタ!$A$4:$E$15,5,FALSE()),""))</f>
        <v/>
      </c>
    </row>
    <row r="45" customFormat="false" ht="15" hidden="false" customHeight="true" outlineLevel="0" collapsed="false">
      <c r="B45" s="41"/>
      <c r="C45" s="54" t="str">
        <f aca="false">IF($B45="","",IFERROR(VLOOKUP($B45,顧客マスタ!$A$4:$F$15,2,FALSE()),""))</f>
        <v/>
      </c>
      <c r="I45" s="19" t="str">
        <f aca="false">IF($G45="","",TEXT($G45,"yyyy-mm"))</f>
        <v/>
      </c>
      <c r="J45" s="26"/>
      <c r="K45" s="49" t="str">
        <f aca="false">IF($A45="","",SUMIFS(外注管理!$I$4:$I$60,外注管理!$B$4:$B$60,$A45))</f>
        <v/>
      </c>
      <c r="L45" s="63"/>
      <c r="M45" s="46" t="str">
        <f aca="false">IF($J45="","",J45-K45)</f>
        <v/>
      </c>
      <c r="N45" s="64" t="str">
        <f aca="false">IF(OR($J45="",$J45=0),"",M45/J45)</f>
        <v/>
      </c>
      <c r="O45" s="46" t="str">
        <f aca="false">IF(OR($L45="",$L45=0),"",ROUND(M45/L45,0))</f>
        <v/>
      </c>
      <c r="Q45" s="41"/>
      <c r="R45" s="65" t="str">
        <f aca="false">IF($Q45="","",IFERROR(VLOOKUP($Q45,Theme_Master!$A$4:$B$22,2,FALSE()),""))</f>
        <v/>
      </c>
      <c r="S45" s="41"/>
      <c r="T45" s="66" t="str">
        <f aca="false">IF($Q45="","",IFERROR(VLOOKUP($Q45,Theme_Master!$A$4:$C$22,3,FALSE()),""))</f>
        <v/>
      </c>
      <c r="U45" s="66" t="str">
        <f aca="false">IF($B45="","",IFERROR(VLOOKUP($B45,顧客マスタ!$A$4:$E$15,5,FALSE()),""))</f>
        <v/>
      </c>
    </row>
    <row r="46" customFormat="false" ht="15" hidden="false" customHeight="true" outlineLevel="0" collapsed="false">
      <c r="B46" s="41"/>
      <c r="C46" s="54" t="str">
        <f aca="false">IF($B46="","",IFERROR(VLOOKUP($B46,顧客マスタ!$A$4:$F$15,2,FALSE()),""))</f>
        <v/>
      </c>
      <c r="I46" s="19" t="str">
        <f aca="false">IF($G46="","",TEXT($G46,"yyyy-mm"))</f>
        <v/>
      </c>
      <c r="J46" s="26"/>
      <c r="K46" s="49" t="str">
        <f aca="false">IF($A46="","",SUMIFS(外注管理!$I$4:$I$60,外注管理!$B$4:$B$60,$A46))</f>
        <v/>
      </c>
      <c r="L46" s="63"/>
      <c r="M46" s="46" t="str">
        <f aca="false">IF($J46="","",J46-K46)</f>
        <v/>
      </c>
      <c r="N46" s="64" t="str">
        <f aca="false">IF(OR($J46="",$J46=0),"",M46/J46)</f>
        <v/>
      </c>
      <c r="O46" s="46" t="str">
        <f aca="false">IF(OR($L46="",$L46=0),"",ROUND(M46/L46,0))</f>
        <v/>
      </c>
      <c r="Q46" s="41"/>
      <c r="R46" s="65" t="str">
        <f aca="false">IF($Q46="","",IFERROR(VLOOKUP($Q46,Theme_Master!$A$4:$B$22,2,FALSE()),""))</f>
        <v/>
      </c>
      <c r="S46" s="41"/>
      <c r="T46" s="66" t="str">
        <f aca="false">IF($Q46="","",IFERROR(VLOOKUP($Q46,Theme_Master!$A$4:$C$22,3,FALSE()),""))</f>
        <v/>
      </c>
      <c r="U46" s="66" t="str">
        <f aca="false">IF($B46="","",IFERROR(VLOOKUP($B46,顧客マスタ!$A$4:$E$15,5,FALSE()),""))</f>
        <v/>
      </c>
    </row>
    <row r="47" customFormat="false" ht="15" hidden="false" customHeight="true" outlineLevel="0" collapsed="false">
      <c r="B47" s="41"/>
      <c r="C47" s="54" t="str">
        <f aca="false">IF($B47="","",IFERROR(VLOOKUP($B47,顧客マスタ!$A$4:$F$15,2,FALSE()),""))</f>
        <v/>
      </c>
      <c r="I47" s="19" t="str">
        <f aca="false">IF($G47="","",TEXT($G47,"yyyy-mm"))</f>
        <v/>
      </c>
      <c r="J47" s="26"/>
      <c r="K47" s="49" t="str">
        <f aca="false">IF($A47="","",SUMIFS(外注管理!$I$4:$I$60,外注管理!$B$4:$B$60,$A47))</f>
        <v/>
      </c>
      <c r="L47" s="63"/>
      <c r="M47" s="46" t="str">
        <f aca="false">IF($J47="","",J47-K47)</f>
        <v/>
      </c>
      <c r="N47" s="64" t="str">
        <f aca="false">IF(OR($J47="",$J47=0),"",M47/J47)</f>
        <v/>
      </c>
      <c r="O47" s="46" t="str">
        <f aca="false">IF(OR($L47="",$L47=0),"",ROUND(M47/L47,0))</f>
        <v/>
      </c>
      <c r="Q47" s="41"/>
      <c r="R47" s="65" t="str">
        <f aca="false">IF($Q47="","",IFERROR(VLOOKUP($Q47,Theme_Master!$A$4:$B$22,2,FALSE()),""))</f>
        <v/>
      </c>
      <c r="S47" s="41"/>
      <c r="T47" s="66" t="str">
        <f aca="false">IF($Q47="","",IFERROR(VLOOKUP($Q47,Theme_Master!$A$4:$C$22,3,FALSE()),""))</f>
        <v/>
      </c>
      <c r="U47" s="66" t="str">
        <f aca="false">IF($B47="","",IFERROR(VLOOKUP($B47,顧客マスタ!$A$4:$E$15,5,FALSE()),""))</f>
        <v/>
      </c>
    </row>
    <row r="48" customFormat="false" ht="15" hidden="false" customHeight="true" outlineLevel="0" collapsed="false">
      <c r="B48" s="41"/>
      <c r="C48" s="54" t="str">
        <f aca="false">IF($B48="","",IFERROR(VLOOKUP($B48,顧客マスタ!$A$4:$F$15,2,FALSE()),""))</f>
        <v/>
      </c>
      <c r="I48" s="19" t="str">
        <f aca="false">IF($G48="","",TEXT($G48,"yyyy-mm"))</f>
        <v/>
      </c>
      <c r="J48" s="26"/>
      <c r="K48" s="49" t="str">
        <f aca="false">IF($A48="","",SUMIFS(外注管理!$I$4:$I$60,外注管理!$B$4:$B$60,$A48))</f>
        <v/>
      </c>
      <c r="L48" s="63"/>
      <c r="M48" s="46" t="str">
        <f aca="false">IF($J48="","",J48-K48)</f>
        <v/>
      </c>
      <c r="N48" s="64" t="str">
        <f aca="false">IF(OR($J48="",$J48=0),"",M48/J48)</f>
        <v/>
      </c>
      <c r="O48" s="46" t="str">
        <f aca="false">IF(OR($L48="",$L48=0),"",ROUND(M48/L48,0))</f>
        <v/>
      </c>
      <c r="Q48" s="41"/>
      <c r="R48" s="65" t="str">
        <f aca="false">IF($Q48="","",IFERROR(VLOOKUP($Q48,Theme_Master!$A$4:$B$22,2,FALSE()),""))</f>
        <v/>
      </c>
      <c r="S48" s="41"/>
      <c r="T48" s="66" t="str">
        <f aca="false">IF($Q48="","",IFERROR(VLOOKUP($Q48,Theme_Master!$A$4:$C$22,3,FALSE()),""))</f>
        <v/>
      </c>
      <c r="U48" s="66" t="str">
        <f aca="false">IF($B48="","",IFERROR(VLOOKUP($B48,顧客マスタ!$A$4:$E$15,5,FALSE()),""))</f>
        <v/>
      </c>
    </row>
    <row r="49" customFormat="false" ht="15" hidden="false" customHeight="true" outlineLevel="0" collapsed="false">
      <c r="B49" s="41"/>
      <c r="C49" s="54" t="str">
        <f aca="false">IF($B49="","",IFERROR(VLOOKUP($B49,顧客マスタ!$A$4:$F$15,2,FALSE()),""))</f>
        <v/>
      </c>
      <c r="I49" s="19" t="str">
        <f aca="false">IF($G49="","",TEXT($G49,"yyyy-mm"))</f>
        <v/>
      </c>
      <c r="J49" s="26"/>
      <c r="K49" s="49" t="str">
        <f aca="false">IF($A49="","",SUMIFS(外注管理!$I$4:$I$60,外注管理!$B$4:$B$60,$A49))</f>
        <v/>
      </c>
      <c r="L49" s="63"/>
      <c r="M49" s="46" t="str">
        <f aca="false">IF($J49="","",J49-K49)</f>
        <v/>
      </c>
      <c r="N49" s="64" t="str">
        <f aca="false">IF(OR($J49="",$J49=0),"",M49/J49)</f>
        <v/>
      </c>
      <c r="O49" s="46" t="str">
        <f aca="false">IF(OR($L49="",$L49=0),"",ROUND(M49/L49,0))</f>
        <v/>
      </c>
      <c r="Q49" s="41"/>
      <c r="R49" s="65" t="str">
        <f aca="false">IF($Q49="","",IFERROR(VLOOKUP($Q49,Theme_Master!$A$4:$B$22,2,FALSE()),""))</f>
        <v/>
      </c>
      <c r="S49" s="41"/>
      <c r="T49" s="66" t="str">
        <f aca="false">IF($Q49="","",IFERROR(VLOOKUP($Q49,Theme_Master!$A$4:$C$22,3,FALSE()),""))</f>
        <v/>
      </c>
      <c r="U49" s="66" t="str">
        <f aca="false">IF($B49="","",IFERROR(VLOOKUP($B49,顧客マスタ!$A$4:$E$15,5,FALSE()),""))</f>
        <v/>
      </c>
    </row>
    <row r="50" customFormat="false" ht="15" hidden="false" customHeight="true" outlineLevel="0" collapsed="false">
      <c r="B50" s="41"/>
      <c r="C50" s="54" t="str">
        <f aca="false">IF($B50="","",IFERROR(VLOOKUP($B50,顧客マスタ!$A$4:$F$15,2,FALSE()),""))</f>
        <v/>
      </c>
      <c r="I50" s="19" t="str">
        <f aca="false">IF($G50="","",TEXT($G50,"yyyy-mm"))</f>
        <v/>
      </c>
      <c r="J50" s="26"/>
      <c r="K50" s="49" t="str">
        <f aca="false">IF($A50="","",SUMIFS(外注管理!$I$4:$I$60,外注管理!$B$4:$B$60,$A50))</f>
        <v/>
      </c>
      <c r="L50" s="63"/>
      <c r="M50" s="46" t="str">
        <f aca="false">IF($J50="","",J50-K50)</f>
        <v/>
      </c>
      <c r="N50" s="64" t="str">
        <f aca="false">IF(OR($J50="",$J50=0),"",M50/J50)</f>
        <v/>
      </c>
      <c r="O50" s="46" t="str">
        <f aca="false">IF(OR($L50="",$L50=0),"",ROUND(M50/L50,0))</f>
        <v/>
      </c>
      <c r="Q50" s="41"/>
      <c r="R50" s="65" t="str">
        <f aca="false">IF($Q50="","",IFERROR(VLOOKUP($Q50,Theme_Master!$A$4:$B$22,2,FALSE()),""))</f>
        <v/>
      </c>
      <c r="S50" s="41"/>
      <c r="T50" s="66" t="str">
        <f aca="false">IF($Q50="","",IFERROR(VLOOKUP($Q50,Theme_Master!$A$4:$C$22,3,FALSE()),""))</f>
        <v/>
      </c>
      <c r="U50" s="66" t="str">
        <f aca="false">IF($B50="","",IFERROR(VLOOKUP($B50,顧客マスタ!$A$4:$E$15,5,FALSE()),""))</f>
        <v/>
      </c>
    </row>
    <row r="51" customFormat="false" ht="15" hidden="false" customHeight="true" outlineLevel="0" collapsed="false">
      <c r="B51" s="41"/>
      <c r="C51" s="54" t="str">
        <f aca="false">IF($B51="","",IFERROR(VLOOKUP($B51,顧客マスタ!$A$4:$F$15,2,FALSE()),""))</f>
        <v/>
      </c>
      <c r="I51" s="19" t="str">
        <f aca="false">IF($G51="","",TEXT($G51,"yyyy-mm"))</f>
        <v/>
      </c>
      <c r="J51" s="26"/>
      <c r="K51" s="49" t="str">
        <f aca="false">IF($A51="","",SUMIFS(外注管理!$I$4:$I$60,外注管理!$B$4:$B$60,$A51))</f>
        <v/>
      </c>
      <c r="L51" s="63"/>
      <c r="M51" s="46" t="str">
        <f aca="false">IF($J51="","",J51-K51)</f>
        <v/>
      </c>
      <c r="N51" s="64" t="str">
        <f aca="false">IF(OR($J51="",$J51=0),"",M51/J51)</f>
        <v/>
      </c>
      <c r="O51" s="46" t="str">
        <f aca="false">IF(OR($L51="",$L51=0),"",ROUND(M51/L51,0))</f>
        <v/>
      </c>
      <c r="Q51" s="41"/>
      <c r="R51" s="65" t="str">
        <f aca="false">IF($Q51="","",IFERROR(VLOOKUP($Q51,Theme_Master!$A$4:$B$22,2,FALSE()),""))</f>
        <v/>
      </c>
      <c r="S51" s="41"/>
      <c r="T51" s="66" t="str">
        <f aca="false">IF($Q51="","",IFERROR(VLOOKUP($Q51,Theme_Master!$A$4:$C$22,3,FALSE()),""))</f>
        <v/>
      </c>
      <c r="U51" s="66" t="str">
        <f aca="false">IF($B51="","",IFERROR(VLOOKUP($B51,顧客マスタ!$A$4:$E$15,5,FALSE()),""))</f>
        <v/>
      </c>
    </row>
    <row r="52" customFormat="false" ht="15" hidden="false" customHeight="true" outlineLevel="0" collapsed="false">
      <c r="B52" s="41"/>
      <c r="C52" s="54" t="str">
        <f aca="false">IF($B52="","",IFERROR(VLOOKUP($B52,顧客マスタ!$A$4:$F$15,2,FALSE()),""))</f>
        <v/>
      </c>
      <c r="I52" s="19" t="str">
        <f aca="false">IF($G52="","",TEXT($G52,"yyyy-mm"))</f>
        <v/>
      </c>
      <c r="J52" s="26"/>
      <c r="K52" s="49" t="str">
        <f aca="false">IF($A52="","",SUMIFS(外注管理!$I$4:$I$60,外注管理!$B$4:$B$60,$A52))</f>
        <v/>
      </c>
      <c r="L52" s="63"/>
      <c r="M52" s="46" t="str">
        <f aca="false">IF($J52="","",J52-K52)</f>
        <v/>
      </c>
      <c r="N52" s="64" t="str">
        <f aca="false">IF(OR($J52="",$J52=0),"",M52/J52)</f>
        <v/>
      </c>
      <c r="O52" s="46" t="str">
        <f aca="false">IF(OR($L52="",$L52=0),"",ROUND(M52/L52,0))</f>
        <v/>
      </c>
      <c r="Q52" s="41"/>
      <c r="R52" s="65" t="str">
        <f aca="false">IF($Q52="","",IFERROR(VLOOKUP($Q52,Theme_Master!$A$4:$B$22,2,FALSE()),""))</f>
        <v/>
      </c>
      <c r="S52" s="41"/>
      <c r="T52" s="66" t="str">
        <f aca="false">IF($Q52="","",IFERROR(VLOOKUP($Q52,Theme_Master!$A$4:$C$22,3,FALSE()),""))</f>
        <v/>
      </c>
      <c r="U52" s="66" t="str">
        <f aca="false">IF($B52="","",IFERROR(VLOOKUP($B52,顧客マスタ!$A$4:$E$15,5,FALSE()),""))</f>
        <v/>
      </c>
    </row>
    <row r="53" customFormat="false" ht="15" hidden="false" customHeight="true" outlineLevel="0" collapsed="false">
      <c r="B53" s="41"/>
      <c r="C53" s="54" t="str">
        <f aca="false">IF($B53="","",IFERROR(VLOOKUP($B53,顧客マスタ!$A$4:$F$15,2,FALSE()),""))</f>
        <v/>
      </c>
      <c r="I53" s="19" t="str">
        <f aca="false">IF($G53="","",TEXT($G53,"yyyy-mm"))</f>
        <v/>
      </c>
      <c r="J53" s="26"/>
      <c r="K53" s="49" t="str">
        <f aca="false">IF($A53="","",SUMIFS(外注管理!$I$4:$I$60,外注管理!$B$4:$B$60,$A53))</f>
        <v/>
      </c>
      <c r="L53" s="63"/>
      <c r="M53" s="46" t="str">
        <f aca="false">IF($J53="","",J53-K53)</f>
        <v/>
      </c>
      <c r="N53" s="64" t="str">
        <f aca="false">IF(OR($J53="",$J53=0),"",M53/J53)</f>
        <v/>
      </c>
      <c r="O53" s="46" t="str">
        <f aca="false">IF(OR($L53="",$L53=0),"",ROUND(M53/L53,0))</f>
        <v/>
      </c>
      <c r="Q53" s="41"/>
      <c r="R53" s="65" t="str">
        <f aca="false">IF($Q53="","",IFERROR(VLOOKUP($Q53,Theme_Master!$A$4:$B$22,2,FALSE()),""))</f>
        <v/>
      </c>
      <c r="S53" s="41"/>
      <c r="T53" s="66" t="str">
        <f aca="false">IF($Q53="","",IFERROR(VLOOKUP($Q53,Theme_Master!$A$4:$C$22,3,FALSE()),""))</f>
        <v/>
      </c>
      <c r="U53" s="66" t="str">
        <f aca="false">IF($B53="","",IFERROR(VLOOKUP($B53,顧客マスタ!$A$4:$E$15,5,FALSE()),""))</f>
        <v/>
      </c>
    </row>
    <row r="54" customFormat="false" ht="15" hidden="false" customHeight="true" outlineLevel="0" collapsed="false">
      <c r="B54" s="41"/>
      <c r="C54" s="54" t="str">
        <f aca="false">IF($B54="","",IFERROR(VLOOKUP($B54,顧客マスタ!$A$4:$F$15,2,FALSE()),""))</f>
        <v/>
      </c>
      <c r="I54" s="19" t="str">
        <f aca="false">IF($G54="","",TEXT($G54,"yyyy-mm"))</f>
        <v/>
      </c>
      <c r="J54" s="26"/>
      <c r="K54" s="49" t="str">
        <f aca="false">IF($A54="","",SUMIFS(外注管理!$I$4:$I$60,外注管理!$B$4:$B$60,$A54))</f>
        <v/>
      </c>
      <c r="L54" s="63"/>
      <c r="M54" s="46" t="str">
        <f aca="false">IF($J54="","",J54-K54)</f>
        <v/>
      </c>
      <c r="N54" s="64" t="str">
        <f aca="false">IF(OR($J54="",$J54=0),"",M54/J54)</f>
        <v/>
      </c>
      <c r="O54" s="46" t="str">
        <f aca="false">IF(OR($L54="",$L54=0),"",ROUND(M54/L54,0))</f>
        <v/>
      </c>
      <c r="Q54" s="41"/>
      <c r="R54" s="65" t="str">
        <f aca="false">IF($Q54="","",IFERROR(VLOOKUP($Q54,Theme_Master!$A$4:$B$22,2,FALSE()),""))</f>
        <v/>
      </c>
      <c r="S54" s="41"/>
      <c r="T54" s="66" t="str">
        <f aca="false">IF($Q54="","",IFERROR(VLOOKUP($Q54,Theme_Master!$A$4:$C$22,3,FALSE()),""))</f>
        <v/>
      </c>
      <c r="U54" s="66" t="str">
        <f aca="false">IF($B54="","",IFERROR(VLOOKUP($B54,顧客マスタ!$A$4:$E$15,5,FALSE()),""))</f>
        <v/>
      </c>
    </row>
    <row r="55" customFormat="false" ht="15" hidden="false" customHeight="true" outlineLevel="0" collapsed="false">
      <c r="B55" s="41"/>
      <c r="C55" s="54" t="str">
        <f aca="false">IF($B55="","",IFERROR(VLOOKUP($B55,顧客マスタ!$A$4:$F$15,2,FALSE()),""))</f>
        <v/>
      </c>
      <c r="I55" s="19" t="str">
        <f aca="false">IF($G55="","",TEXT($G55,"yyyy-mm"))</f>
        <v/>
      </c>
      <c r="J55" s="26"/>
      <c r="K55" s="49" t="str">
        <f aca="false">IF($A55="","",SUMIFS(外注管理!$I$4:$I$60,外注管理!$B$4:$B$60,$A55))</f>
        <v/>
      </c>
      <c r="L55" s="63"/>
      <c r="M55" s="46" t="str">
        <f aca="false">IF($J55="","",J55-K55)</f>
        <v/>
      </c>
      <c r="N55" s="64" t="str">
        <f aca="false">IF(OR($J55="",$J55=0),"",M55/J55)</f>
        <v/>
      </c>
      <c r="O55" s="46" t="str">
        <f aca="false">IF(OR($L55="",$L55=0),"",ROUND(M55/L55,0))</f>
        <v/>
      </c>
      <c r="Q55" s="41"/>
      <c r="R55" s="65" t="str">
        <f aca="false">IF($Q55="","",IFERROR(VLOOKUP($Q55,Theme_Master!$A$4:$B$22,2,FALSE()),""))</f>
        <v/>
      </c>
      <c r="S55" s="41"/>
      <c r="T55" s="66" t="str">
        <f aca="false">IF($Q55="","",IFERROR(VLOOKUP($Q55,Theme_Master!$A$4:$C$22,3,FALSE()),""))</f>
        <v/>
      </c>
      <c r="U55" s="66" t="str">
        <f aca="false">IF($B55="","",IFERROR(VLOOKUP($B55,顧客マスタ!$A$4:$E$15,5,FALSE()),""))</f>
        <v/>
      </c>
    </row>
    <row r="56" customFormat="false" ht="15" hidden="false" customHeight="true" outlineLevel="0" collapsed="false">
      <c r="B56" s="41"/>
      <c r="C56" s="54" t="str">
        <f aca="false">IF($B56="","",IFERROR(VLOOKUP($B56,顧客マスタ!$A$4:$F$15,2,FALSE()),""))</f>
        <v/>
      </c>
      <c r="I56" s="19" t="str">
        <f aca="false">IF($G56="","",TEXT($G56,"yyyy-mm"))</f>
        <v/>
      </c>
      <c r="J56" s="26"/>
      <c r="K56" s="49" t="str">
        <f aca="false">IF($A56="","",SUMIFS(外注管理!$I$4:$I$60,外注管理!$B$4:$B$60,$A56))</f>
        <v/>
      </c>
      <c r="L56" s="63"/>
      <c r="M56" s="46" t="str">
        <f aca="false">IF($J56="","",J56-K56)</f>
        <v/>
      </c>
      <c r="N56" s="64" t="str">
        <f aca="false">IF(OR($J56="",$J56=0),"",M56/J56)</f>
        <v/>
      </c>
      <c r="O56" s="46" t="str">
        <f aca="false">IF(OR($L56="",$L56=0),"",ROUND(M56/L56,0))</f>
        <v/>
      </c>
      <c r="Q56" s="41"/>
      <c r="R56" s="65" t="str">
        <f aca="false">IF($Q56="","",IFERROR(VLOOKUP($Q56,Theme_Master!$A$4:$B$22,2,FALSE()),""))</f>
        <v/>
      </c>
      <c r="S56" s="41"/>
      <c r="T56" s="66" t="str">
        <f aca="false">IF($Q56="","",IFERROR(VLOOKUP($Q56,Theme_Master!$A$4:$C$22,3,FALSE()),""))</f>
        <v/>
      </c>
      <c r="U56" s="66" t="str">
        <f aca="false">IF($B56="","",IFERROR(VLOOKUP($B56,顧客マスタ!$A$4:$E$15,5,FALSE()),""))</f>
        <v/>
      </c>
    </row>
    <row r="57" customFormat="false" ht="15" hidden="false" customHeight="true" outlineLevel="0" collapsed="false">
      <c r="B57" s="41"/>
      <c r="C57" s="54" t="str">
        <f aca="false">IF($B57="","",IFERROR(VLOOKUP($B57,顧客マスタ!$A$4:$F$15,2,FALSE()),""))</f>
        <v/>
      </c>
      <c r="I57" s="19" t="str">
        <f aca="false">IF($G57="","",TEXT($G57,"yyyy-mm"))</f>
        <v/>
      </c>
      <c r="J57" s="26"/>
      <c r="K57" s="49" t="str">
        <f aca="false">IF($A57="","",SUMIFS(外注管理!$I$4:$I$60,外注管理!$B$4:$B$60,$A57))</f>
        <v/>
      </c>
      <c r="L57" s="63"/>
      <c r="M57" s="46" t="str">
        <f aca="false">IF($J57="","",J57-K57)</f>
        <v/>
      </c>
      <c r="N57" s="64" t="str">
        <f aca="false">IF(OR($J57="",$J57=0),"",M57/J57)</f>
        <v/>
      </c>
      <c r="O57" s="46" t="str">
        <f aca="false">IF(OR($L57="",$L57=0),"",ROUND(M57/L57,0))</f>
        <v/>
      </c>
      <c r="Q57" s="41"/>
      <c r="R57" s="65" t="str">
        <f aca="false">IF($Q57="","",IFERROR(VLOOKUP($Q57,Theme_Master!$A$4:$B$22,2,FALSE()),""))</f>
        <v/>
      </c>
      <c r="S57" s="41"/>
      <c r="T57" s="66" t="str">
        <f aca="false">IF($Q57="","",IFERROR(VLOOKUP($Q57,Theme_Master!$A$4:$C$22,3,FALSE()),""))</f>
        <v/>
      </c>
      <c r="U57" s="66" t="str">
        <f aca="false">IF($B57="","",IFERROR(VLOOKUP($B57,顧客マスタ!$A$4:$E$15,5,FALSE()),""))</f>
        <v/>
      </c>
    </row>
    <row r="58" customFormat="false" ht="15" hidden="false" customHeight="true" outlineLevel="0" collapsed="false">
      <c r="B58" s="41"/>
      <c r="C58" s="54" t="str">
        <f aca="false">IF($B58="","",IFERROR(VLOOKUP($B58,顧客マスタ!$A$4:$F$15,2,FALSE()),""))</f>
        <v/>
      </c>
      <c r="I58" s="19" t="str">
        <f aca="false">IF($G58="","",TEXT($G58,"yyyy-mm"))</f>
        <v/>
      </c>
      <c r="J58" s="26"/>
      <c r="K58" s="49" t="str">
        <f aca="false">IF($A58="","",SUMIFS(外注管理!$I$4:$I$60,外注管理!$B$4:$B$60,$A58))</f>
        <v/>
      </c>
      <c r="L58" s="63"/>
      <c r="M58" s="46" t="str">
        <f aca="false">IF($J58="","",J58-K58)</f>
        <v/>
      </c>
      <c r="N58" s="64" t="str">
        <f aca="false">IF(OR($J58="",$J58=0),"",M58/J58)</f>
        <v/>
      </c>
      <c r="O58" s="46" t="str">
        <f aca="false">IF(OR($L58="",$L58=0),"",ROUND(M58/L58,0))</f>
        <v/>
      </c>
      <c r="Q58" s="41"/>
      <c r="R58" s="65" t="str">
        <f aca="false">IF($Q58="","",IFERROR(VLOOKUP($Q58,Theme_Master!$A$4:$B$22,2,FALSE()),""))</f>
        <v/>
      </c>
      <c r="S58" s="41"/>
      <c r="T58" s="66" t="str">
        <f aca="false">IF($Q58="","",IFERROR(VLOOKUP($Q58,Theme_Master!$A$4:$C$22,3,FALSE()),""))</f>
        <v/>
      </c>
      <c r="U58" s="66" t="str">
        <f aca="false">IF($B58="","",IFERROR(VLOOKUP($B58,顧客マスタ!$A$4:$E$15,5,FALSE()),""))</f>
        <v/>
      </c>
    </row>
    <row r="59" customFormat="false" ht="15" hidden="false" customHeight="true" outlineLevel="0" collapsed="false">
      <c r="B59" s="41"/>
      <c r="C59" s="54" t="str">
        <f aca="false">IF($B59="","",IFERROR(VLOOKUP($B59,顧客マスタ!$A$4:$F$15,2,FALSE()),""))</f>
        <v/>
      </c>
      <c r="I59" s="19" t="str">
        <f aca="false">IF($G59="","",TEXT($G59,"yyyy-mm"))</f>
        <v/>
      </c>
      <c r="J59" s="26"/>
      <c r="K59" s="49" t="str">
        <f aca="false">IF($A59="","",SUMIFS(外注管理!$I$4:$I$60,外注管理!$B$4:$B$60,$A59))</f>
        <v/>
      </c>
      <c r="L59" s="63"/>
      <c r="M59" s="46" t="str">
        <f aca="false">IF($J59="","",J59-K59)</f>
        <v/>
      </c>
      <c r="N59" s="64" t="str">
        <f aca="false">IF(OR($J59="",$J59=0),"",M59/J59)</f>
        <v/>
      </c>
      <c r="O59" s="46" t="str">
        <f aca="false">IF(OR($L59="",$L59=0),"",ROUND(M59/L59,0))</f>
        <v/>
      </c>
      <c r="Q59" s="41"/>
      <c r="R59" s="65" t="str">
        <f aca="false">IF($Q59="","",IFERROR(VLOOKUP($Q59,Theme_Master!$A$4:$B$22,2,FALSE()),""))</f>
        <v/>
      </c>
      <c r="S59" s="41"/>
      <c r="T59" s="66" t="str">
        <f aca="false">IF($Q59="","",IFERROR(VLOOKUP($Q59,Theme_Master!$A$4:$C$22,3,FALSE()),""))</f>
        <v/>
      </c>
      <c r="U59" s="66" t="str">
        <f aca="false">IF($B59="","",IFERROR(VLOOKUP($B59,顧客マスタ!$A$4:$E$15,5,FALSE()),""))</f>
        <v/>
      </c>
    </row>
    <row r="60" customFormat="false" ht="15" hidden="false" customHeight="true" outlineLevel="0" collapsed="false">
      <c r="B60" s="41"/>
      <c r="C60" s="54" t="str">
        <f aca="false">IF($B60="","",IFERROR(VLOOKUP($B60,顧客マスタ!$A$4:$F$15,2,FALSE()),""))</f>
        <v/>
      </c>
      <c r="I60" s="19" t="str">
        <f aca="false">IF($G60="","",TEXT($G60,"yyyy-mm"))</f>
        <v/>
      </c>
      <c r="J60" s="26"/>
      <c r="K60" s="49" t="str">
        <f aca="false">IF($A60="","",SUMIFS(外注管理!$I$4:$I$60,外注管理!$B$4:$B$60,$A60))</f>
        <v/>
      </c>
      <c r="L60" s="63"/>
      <c r="M60" s="46" t="str">
        <f aca="false">IF($J60="","",J60-K60)</f>
        <v/>
      </c>
      <c r="N60" s="64" t="str">
        <f aca="false">IF(OR($J60="",$J60=0),"",M60/J60)</f>
        <v/>
      </c>
      <c r="O60" s="46" t="str">
        <f aca="false">IF(OR($L60="",$L60=0),"",ROUND(M60/L60,0))</f>
        <v/>
      </c>
      <c r="Q60" s="41"/>
      <c r="R60" s="65" t="str">
        <f aca="false">IF($Q60="","",IFERROR(VLOOKUP($Q60,Theme_Master!$A$4:$B$22,2,FALSE()),""))</f>
        <v/>
      </c>
      <c r="S60" s="41"/>
      <c r="T60" s="66" t="str">
        <f aca="false">IF($Q60="","",IFERROR(VLOOKUP($Q60,Theme_Master!$A$4:$C$22,3,FALSE()),""))</f>
        <v/>
      </c>
      <c r="U60" s="66" t="str">
        <f aca="false">IF($B60="","",IFERROR(VLOOKUP($B60,顧客マスタ!$A$4:$E$15,5,FALSE()),""))</f>
        <v/>
      </c>
    </row>
  </sheetData>
  <conditionalFormatting sqref="N4:N60">
    <cfRule type="cellIs" priority="2" operator="lessThan" aboveAverage="0" equalAverage="0" bottom="0" percent="0" rank="0" text="" dxfId="0">
      <formula>0.6</formula>
    </cfRule>
  </conditionalFormatting>
  <conditionalFormatting sqref="O4:O60">
    <cfRule type="cellIs" priority="3" operator="lessThan" aboveAverage="0" equalAverage="0" bottom="0" percent="0" rank="0" text="" dxfId="1">
      <formula>3000</formula>
    </cfRule>
  </conditionalFormatting>
  <dataValidations count="5">
    <dataValidation allowBlank="true" errorStyle="stop" operator="between" showDropDown="false" showErrorMessage="false" showInputMessage="false" sqref="E4:E60" type="list">
      <formula1>料金マスタ!$G$4:$G$23</formula1>
      <formula2>0</formula2>
    </dataValidation>
    <dataValidation allowBlank="true" errorStyle="stop" operator="between" showDropDown="false" showErrorMessage="false" showInputMessage="false" sqref="F4:F60" type="list">
      <formula1>料金マスタ!$H$4:$H$5</formula1>
      <formula2>0</formula2>
    </dataValidation>
    <dataValidation allowBlank="true" errorStyle="stop" operator="between" showDropDown="false" showErrorMessage="false" showInputMessage="false" sqref="P4:P60" type="list">
      <formula1>料金マスタ!$I$4:$I$8</formula1>
      <formula2>0</formula2>
    </dataValidation>
    <dataValidation allowBlank="true" errorStyle="stop" operator="between" showDropDown="false" showErrorMessage="false" showInputMessage="false" sqref="Q4:Q60" type="list">
      <formula1>Theme_Master!$A$4:$A$22</formula1>
      <formula2>0</formula2>
    </dataValidation>
    <dataValidation allowBlank="true" errorStyle="stop" operator="between" showDropDown="false" showErrorMessage="false" showInputMessage="false" sqref="S4:S60" type="list">
      <formula1>Event_Master!$B$4:$B$37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8"/>
  </cols>
  <sheetData>
    <row r="1" customFormat="false" ht="17.25" hidden="false" customHeight="true" outlineLevel="0" collapsed="false">
      <c r="A1" s="21" t="s">
        <v>347</v>
      </c>
    </row>
    <row r="2" customFormat="false" ht="16.5" hidden="false" customHeight="true" outlineLevel="0" collapsed="false">
      <c r="A2" s="22" t="s">
        <v>348</v>
      </c>
    </row>
    <row r="3" customFormat="false" ht="16.5" hidden="false" customHeight="true" outlineLevel="0" collapsed="false">
      <c r="A3" s="23" t="s">
        <v>349</v>
      </c>
      <c r="B3" s="23" t="s">
        <v>319</v>
      </c>
      <c r="C3" s="23" t="s">
        <v>175</v>
      </c>
      <c r="D3" s="23" t="s">
        <v>350</v>
      </c>
      <c r="E3" s="23" t="s">
        <v>351</v>
      </c>
      <c r="F3" s="23" t="s">
        <v>323</v>
      </c>
      <c r="G3" s="23" t="s">
        <v>34</v>
      </c>
      <c r="H3" s="23" t="s">
        <v>277</v>
      </c>
      <c r="I3" s="23" t="s">
        <v>326</v>
      </c>
      <c r="J3" s="23" t="s">
        <v>352</v>
      </c>
      <c r="K3" s="23" t="s">
        <v>250</v>
      </c>
    </row>
    <row r="4" customFormat="false" ht="16.5" hidden="false" customHeight="true" outlineLevel="0" collapsed="false">
      <c r="A4" s="19" t="s">
        <v>353</v>
      </c>
      <c r="B4" s="41" t="s">
        <v>340</v>
      </c>
      <c r="C4" s="33" t="s">
        <v>184</v>
      </c>
      <c r="D4" s="67" t="s">
        <v>354</v>
      </c>
      <c r="E4" s="62" t="n">
        <v>46179</v>
      </c>
      <c r="F4" s="62" t="n">
        <v>46182</v>
      </c>
      <c r="G4" s="26" t="n">
        <v>1000</v>
      </c>
      <c r="H4" s="41" t="n">
        <v>10</v>
      </c>
      <c r="I4" s="46" t="n">
        <f aca="false">G4*H4</f>
        <v>10000</v>
      </c>
      <c r="J4" s="33" t="s">
        <v>195</v>
      </c>
      <c r="K4" s="69" t="s">
        <v>355</v>
      </c>
    </row>
    <row r="5" customFormat="false" ht="16.5" hidden="false" customHeight="true" outlineLevel="0" collapsed="false">
      <c r="A5" s="19" t="s">
        <v>356</v>
      </c>
      <c r="B5" s="41" t="s">
        <v>342</v>
      </c>
      <c r="C5" s="33" t="s">
        <v>192</v>
      </c>
      <c r="D5" s="67" t="s">
        <v>357</v>
      </c>
      <c r="E5" s="62" t="n">
        <v>46189</v>
      </c>
      <c r="F5" s="62" t="n">
        <v>46192</v>
      </c>
      <c r="G5" s="26" t="n">
        <v>1500</v>
      </c>
      <c r="H5" s="41" t="n">
        <v>8</v>
      </c>
      <c r="I5" s="46" t="n">
        <f aca="false">G5*H5</f>
        <v>12000</v>
      </c>
      <c r="J5" s="33" t="s">
        <v>187</v>
      </c>
      <c r="K5" s="70" t="s">
        <v>358</v>
      </c>
    </row>
    <row r="6" customFormat="false" ht="15" hidden="false" customHeight="true" outlineLevel="0" collapsed="false">
      <c r="I6" s="46" t="str">
        <f aca="false">IF($G6="","",G6*H6)</f>
        <v/>
      </c>
    </row>
    <row r="7" customFormat="false" ht="15" hidden="false" customHeight="true" outlineLevel="0" collapsed="false">
      <c r="I7" s="46" t="str">
        <f aca="false">IF($G7="","",G7*H7)</f>
        <v/>
      </c>
    </row>
    <row r="8" customFormat="false" ht="15" hidden="false" customHeight="true" outlineLevel="0" collapsed="false">
      <c r="I8" s="46" t="str">
        <f aca="false">IF($G8="","",G8*H8)</f>
        <v/>
      </c>
    </row>
    <row r="9" customFormat="false" ht="15" hidden="false" customHeight="true" outlineLevel="0" collapsed="false">
      <c r="I9" s="46" t="str">
        <f aca="false">IF($G9="","",G9*H9)</f>
        <v/>
      </c>
    </row>
    <row r="10" customFormat="false" ht="15" hidden="false" customHeight="true" outlineLevel="0" collapsed="false">
      <c r="I10" s="46" t="str">
        <f aca="false">IF($G10="","",G10*H10)</f>
        <v/>
      </c>
    </row>
    <row r="11" customFormat="false" ht="15" hidden="false" customHeight="true" outlineLevel="0" collapsed="false">
      <c r="I11" s="46" t="str">
        <f aca="false">IF($G11="","",G11*H11)</f>
        <v/>
      </c>
    </row>
    <row r="12" customFormat="false" ht="15" hidden="false" customHeight="true" outlineLevel="0" collapsed="false">
      <c r="I12" s="46" t="str">
        <f aca="false">IF($G12="","",G12*H12)</f>
        <v/>
      </c>
    </row>
    <row r="13" customFormat="false" ht="15" hidden="false" customHeight="true" outlineLevel="0" collapsed="false">
      <c r="I13" s="46" t="str">
        <f aca="false">IF($G13="","",G13*H13)</f>
        <v/>
      </c>
    </row>
    <row r="14" customFormat="false" ht="15" hidden="false" customHeight="true" outlineLevel="0" collapsed="false">
      <c r="I14" s="46" t="str">
        <f aca="false">IF($G14="","",G14*H14)</f>
        <v/>
      </c>
    </row>
    <row r="15" customFormat="false" ht="15" hidden="false" customHeight="true" outlineLevel="0" collapsed="false">
      <c r="I15" s="46" t="str">
        <f aca="false">IF($G15="","",G15*H15)</f>
        <v/>
      </c>
    </row>
    <row r="16" customFormat="false" ht="15" hidden="false" customHeight="true" outlineLevel="0" collapsed="false">
      <c r="I16" s="46" t="str">
        <f aca="false">IF($G16="","",G16*H16)</f>
        <v/>
      </c>
    </row>
    <row r="17" customFormat="false" ht="15" hidden="false" customHeight="true" outlineLevel="0" collapsed="false">
      <c r="I17" s="46" t="str">
        <f aca="false">IF($G17="","",G17*H17)</f>
        <v/>
      </c>
    </row>
    <row r="18" customFormat="false" ht="15" hidden="false" customHeight="true" outlineLevel="0" collapsed="false">
      <c r="I18" s="46" t="str">
        <f aca="false">IF($G18="","",G18*H18)</f>
        <v/>
      </c>
    </row>
    <row r="19" customFormat="false" ht="15" hidden="false" customHeight="true" outlineLevel="0" collapsed="false">
      <c r="I19" s="46" t="str">
        <f aca="false">IF($G19="","",G19*H19)</f>
        <v/>
      </c>
    </row>
    <row r="20" customFormat="false" ht="15" hidden="false" customHeight="true" outlineLevel="0" collapsed="false">
      <c r="I20" s="46" t="str">
        <f aca="false">IF($G20="","",G20*H20)</f>
        <v/>
      </c>
    </row>
    <row r="21" customFormat="false" ht="15" hidden="false" customHeight="true" outlineLevel="0" collapsed="false">
      <c r="I21" s="46" t="str">
        <f aca="false">IF($G21="","",G21*H21)</f>
        <v/>
      </c>
    </row>
    <row r="22" customFormat="false" ht="15" hidden="false" customHeight="true" outlineLevel="0" collapsed="false">
      <c r="I22" s="46" t="str">
        <f aca="false">IF($G22="","",G22*H22)</f>
        <v/>
      </c>
    </row>
    <row r="23" customFormat="false" ht="15" hidden="false" customHeight="true" outlineLevel="0" collapsed="false">
      <c r="I23" s="46" t="str">
        <f aca="false">IF($G23="","",G23*H23)</f>
        <v/>
      </c>
    </row>
    <row r="24" customFormat="false" ht="15" hidden="false" customHeight="true" outlineLevel="0" collapsed="false">
      <c r="I24" s="46" t="str">
        <f aca="false">IF($G24="","",G24*H24)</f>
        <v/>
      </c>
    </row>
    <row r="25" customFormat="false" ht="15" hidden="false" customHeight="true" outlineLevel="0" collapsed="false">
      <c r="I25" s="46" t="str">
        <f aca="false">IF($G25="","",G25*H25)</f>
        <v/>
      </c>
    </row>
    <row r="26" customFormat="false" ht="15" hidden="false" customHeight="true" outlineLevel="0" collapsed="false">
      <c r="I26" s="46" t="str">
        <f aca="false">IF($G26="","",G26*H26)</f>
        <v/>
      </c>
    </row>
    <row r="27" customFormat="false" ht="15" hidden="false" customHeight="true" outlineLevel="0" collapsed="false">
      <c r="I27" s="46" t="str">
        <f aca="false">IF($G27="","",G27*H27)</f>
        <v/>
      </c>
    </row>
    <row r="28" customFormat="false" ht="15" hidden="false" customHeight="true" outlineLevel="0" collapsed="false">
      <c r="I28" s="46" t="str">
        <f aca="false">IF($G28="","",G28*H28)</f>
        <v/>
      </c>
    </row>
    <row r="29" customFormat="false" ht="15" hidden="false" customHeight="true" outlineLevel="0" collapsed="false">
      <c r="I29" s="46" t="str">
        <f aca="false">IF($G29="","",G29*H29)</f>
        <v/>
      </c>
    </row>
    <row r="30" customFormat="false" ht="15" hidden="false" customHeight="true" outlineLevel="0" collapsed="false">
      <c r="I30" s="46" t="str">
        <f aca="false">IF($G30="","",G30*H30)</f>
        <v/>
      </c>
    </row>
    <row r="31" customFormat="false" ht="15" hidden="false" customHeight="true" outlineLevel="0" collapsed="false">
      <c r="I31" s="46" t="str">
        <f aca="false">IF($G31="","",G31*H31)</f>
        <v/>
      </c>
    </row>
    <row r="32" customFormat="false" ht="15" hidden="false" customHeight="true" outlineLevel="0" collapsed="false">
      <c r="I32" s="46" t="str">
        <f aca="false">IF($G32="","",G32*H32)</f>
        <v/>
      </c>
    </row>
    <row r="33" customFormat="false" ht="15" hidden="false" customHeight="true" outlineLevel="0" collapsed="false">
      <c r="I33" s="46" t="str">
        <f aca="false">IF($G33="","",G33*H33)</f>
        <v/>
      </c>
    </row>
    <row r="34" customFormat="false" ht="15" hidden="false" customHeight="true" outlineLevel="0" collapsed="false">
      <c r="I34" s="46" t="str">
        <f aca="false">IF($G34="","",G34*H34)</f>
        <v/>
      </c>
    </row>
    <row r="35" customFormat="false" ht="15" hidden="false" customHeight="true" outlineLevel="0" collapsed="false">
      <c r="I35" s="46" t="str">
        <f aca="false">IF($G35="","",G35*H35)</f>
        <v/>
      </c>
    </row>
    <row r="36" customFormat="false" ht="15" hidden="false" customHeight="true" outlineLevel="0" collapsed="false">
      <c r="I36" s="46" t="str">
        <f aca="false">IF($G36="","",G36*H36)</f>
        <v/>
      </c>
    </row>
    <row r="37" customFormat="false" ht="15" hidden="false" customHeight="true" outlineLevel="0" collapsed="false">
      <c r="I37" s="46" t="str">
        <f aca="false">IF($G37="","",G37*H37)</f>
        <v/>
      </c>
    </row>
    <row r="38" customFormat="false" ht="15" hidden="false" customHeight="true" outlineLevel="0" collapsed="false">
      <c r="I38" s="46" t="str">
        <f aca="false">IF($G38="","",G38*H38)</f>
        <v/>
      </c>
    </row>
    <row r="39" customFormat="false" ht="15" hidden="false" customHeight="true" outlineLevel="0" collapsed="false">
      <c r="I39" s="46" t="str">
        <f aca="false">IF($G39="","",G39*H39)</f>
        <v/>
      </c>
    </row>
    <row r="40" customFormat="false" ht="15" hidden="false" customHeight="true" outlineLevel="0" collapsed="false">
      <c r="I40" s="46" t="str">
        <f aca="false">IF($G40="","",G40*H40)</f>
        <v/>
      </c>
    </row>
    <row r="41" customFormat="false" ht="15" hidden="false" customHeight="true" outlineLevel="0" collapsed="false">
      <c r="I41" s="46" t="str">
        <f aca="false">IF($G41="","",G41*H41)</f>
        <v/>
      </c>
    </row>
    <row r="42" customFormat="false" ht="15" hidden="false" customHeight="true" outlineLevel="0" collapsed="false">
      <c r="I42" s="46" t="str">
        <f aca="false">IF($G42="","",G42*H42)</f>
        <v/>
      </c>
    </row>
    <row r="43" customFormat="false" ht="15" hidden="false" customHeight="true" outlineLevel="0" collapsed="false">
      <c r="I43" s="46" t="str">
        <f aca="false">IF($G43="","",G43*H43)</f>
        <v/>
      </c>
    </row>
    <row r="44" customFormat="false" ht="15" hidden="false" customHeight="true" outlineLevel="0" collapsed="false">
      <c r="I44" s="46" t="str">
        <f aca="false">IF($G44="","",G44*H44)</f>
        <v/>
      </c>
    </row>
    <row r="45" customFormat="false" ht="15" hidden="false" customHeight="true" outlineLevel="0" collapsed="false">
      <c r="I45" s="46" t="str">
        <f aca="false">IF($G45="","",G45*H45)</f>
        <v/>
      </c>
    </row>
    <row r="46" customFormat="false" ht="15" hidden="false" customHeight="true" outlineLevel="0" collapsed="false">
      <c r="I46" s="46" t="str">
        <f aca="false">IF($G46="","",G46*H46)</f>
        <v/>
      </c>
    </row>
    <row r="47" customFormat="false" ht="15" hidden="false" customHeight="true" outlineLevel="0" collapsed="false">
      <c r="I47" s="46" t="str">
        <f aca="false">IF($G47="","",G47*H47)</f>
        <v/>
      </c>
    </row>
    <row r="48" customFormat="false" ht="15" hidden="false" customHeight="true" outlineLevel="0" collapsed="false">
      <c r="I48" s="46" t="str">
        <f aca="false">IF($G48="","",G48*H48)</f>
        <v/>
      </c>
    </row>
    <row r="49" customFormat="false" ht="15" hidden="false" customHeight="true" outlineLevel="0" collapsed="false">
      <c r="I49" s="46" t="str">
        <f aca="false">IF($G49="","",G49*H49)</f>
        <v/>
      </c>
    </row>
    <row r="50" customFormat="false" ht="15" hidden="false" customHeight="true" outlineLevel="0" collapsed="false">
      <c r="I50" s="46" t="str">
        <f aca="false">IF($G50="","",G50*H50)</f>
        <v/>
      </c>
    </row>
    <row r="51" customFormat="false" ht="15" hidden="false" customHeight="true" outlineLevel="0" collapsed="false">
      <c r="I51" s="46" t="str">
        <f aca="false">IF($G51="","",G51*H51)</f>
        <v/>
      </c>
    </row>
    <row r="52" customFormat="false" ht="15" hidden="false" customHeight="true" outlineLevel="0" collapsed="false">
      <c r="I52" s="46" t="str">
        <f aca="false">IF($G52="","",G52*H52)</f>
        <v/>
      </c>
    </row>
    <row r="53" customFormat="false" ht="15" hidden="false" customHeight="true" outlineLevel="0" collapsed="false">
      <c r="I53" s="46" t="str">
        <f aca="false">IF($G53="","",G53*H53)</f>
        <v/>
      </c>
    </row>
    <row r="54" customFormat="false" ht="15" hidden="false" customHeight="true" outlineLevel="0" collapsed="false">
      <c r="I54" s="46" t="str">
        <f aca="false">IF($G54="","",G54*H54)</f>
        <v/>
      </c>
    </row>
    <row r="55" customFormat="false" ht="15" hidden="false" customHeight="true" outlineLevel="0" collapsed="false">
      <c r="I55" s="46" t="str">
        <f aca="false">IF($G55="","",G55*H55)</f>
        <v/>
      </c>
    </row>
    <row r="56" customFormat="false" ht="15" hidden="false" customHeight="true" outlineLevel="0" collapsed="false">
      <c r="I56" s="46" t="str">
        <f aca="false">IF($G56="","",G56*H56)</f>
        <v/>
      </c>
    </row>
    <row r="57" customFormat="false" ht="15" hidden="false" customHeight="true" outlineLevel="0" collapsed="false">
      <c r="I57" s="46" t="str">
        <f aca="false">IF($G57="","",G57*H57)</f>
        <v/>
      </c>
    </row>
    <row r="58" customFormat="false" ht="15" hidden="false" customHeight="true" outlineLevel="0" collapsed="false">
      <c r="I58" s="46" t="str">
        <f aca="false">IF($G58="","",G58*H58)</f>
        <v/>
      </c>
    </row>
    <row r="59" customFormat="false" ht="15" hidden="false" customHeight="true" outlineLevel="0" collapsed="false">
      <c r="I59" s="46" t="str">
        <f aca="false">IF($G59="","",G59*H59)</f>
        <v/>
      </c>
    </row>
    <row r="60" customFormat="false" ht="15" hidden="false" customHeight="true" outlineLevel="0" collapsed="false">
      <c r="I60" s="46" t="str">
        <f aca="false">IF($G60="","",G60*H60)</f>
        <v/>
      </c>
    </row>
  </sheetData>
  <conditionalFormatting sqref="J4:J60">
    <cfRule type="expression" priority="2" aboveAverage="0" equalAverage="0" bottom="0" percent="0" rank="0" text="" dxfId="0">
      <formula>$J4="未払"</formula>
    </cfRule>
  </conditionalFormatting>
  <dataValidations count="3">
    <dataValidation allowBlank="true" errorStyle="stop" operator="between" showDropDown="false" showErrorMessage="false" showInputMessage="false" sqref="B4:B60" type="list">
      <formula1>案件別収益!$A$4:$A$60</formula1>
      <formula2>0</formula2>
    </dataValidation>
    <dataValidation allowBlank="true" errorStyle="stop" operator="between" showDropDown="false" showErrorMessage="false" showInputMessage="false" sqref="C4:C60" type="list">
      <formula1>料金マスタ!$K$4:$K$7</formula1>
      <formula2>0</formula2>
    </dataValidation>
    <dataValidation allowBlank="true" errorStyle="stop" operator="between" showDropDown="false" showErrorMessage="false" showInputMessage="false" sqref="J4:J60" type="list">
      <formula1>料金マスタ!$N$4:$N$5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9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17.25" hidden="false" customHeight="true" outlineLevel="0" collapsed="false">
      <c r="A1" s="21" t="s">
        <v>359</v>
      </c>
    </row>
    <row r="2" customFormat="false" ht="16.5" hidden="false" customHeight="true" outlineLevel="0" collapsed="false">
      <c r="A2" s="22" t="s">
        <v>360</v>
      </c>
    </row>
    <row r="3" customFormat="false" ht="29.25" hidden="false" customHeight="true" outlineLevel="0" collapsed="false">
      <c r="A3" s="23" t="s">
        <v>361</v>
      </c>
      <c r="B3" s="23" t="s">
        <v>319</v>
      </c>
      <c r="C3" s="23" t="s">
        <v>242</v>
      </c>
      <c r="D3" s="23" t="s">
        <v>243</v>
      </c>
      <c r="E3" s="23" t="s">
        <v>362</v>
      </c>
      <c r="F3" s="23" t="s">
        <v>363</v>
      </c>
      <c r="G3" s="23" t="s">
        <v>288</v>
      </c>
      <c r="H3" s="23" t="s">
        <v>364</v>
      </c>
      <c r="I3" s="23" t="s">
        <v>365</v>
      </c>
      <c r="J3" s="23" t="s">
        <v>249</v>
      </c>
      <c r="K3" s="61" t="s">
        <v>366</v>
      </c>
      <c r="L3" s="61" t="s">
        <v>367</v>
      </c>
    </row>
    <row r="4" customFormat="false" ht="15" hidden="false" customHeight="true" outlineLevel="0" collapsed="false">
      <c r="A4" s="19" t="s">
        <v>368</v>
      </c>
      <c r="B4" s="41" t="s">
        <v>340</v>
      </c>
      <c r="C4" s="38" t="str">
        <f aca="false">IF($B4="","",IFERROR(VLOOKUP($B4,案件別収益!$A$4:$C$60,2,FALSE()),""))</f>
        <v>C003</v>
      </c>
      <c r="D4" s="54" t="str">
        <f aca="false">IF($B4="","",IFERROR(VLOOKUP($B4,案件別収益!$A$4:$C$60,3,FALSE()),""))</f>
        <v>□□会館</v>
      </c>
      <c r="E4" s="62" t="n">
        <v>46185</v>
      </c>
      <c r="F4" s="26" t="n">
        <v>150000</v>
      </c>
      <c r="G4" s="42" t="n">
        <f aca="false">IF($F4="","",ROUND((F4+IF($K4="",0,L4))*料金マスタ!$B$29,0))</f>
        <v>15000</v>
      </c>
      <c r="H4" s="43" t="n">
        <f aca="false">IF($F4="","",F4+IF($K4="",0,L4)+G4)</f>
        <v>165000</v>
      </c>
      <c r="I4" s="62" t="n">
        <v>46234</v>
      </c>
      <c r="J4" s="33" t="s">
        <v>198</v>
      </c>
      <c r="K4" s="29"/>
      <c r="L4" s="42" t="str">
        <f aca="false">IF($K4="","",IFERROR(VLOOKUP($K4,Pricing_Master!$B$4:$D$22,2,FALSE()),0))</f>
        <v/>
      </c>
    </row>
    <row r="5" customFormat="false" ht="15" hidden="false" customHeight="true" outlineLevel="0" collapsed="false">
      <c r="A5" s="19" t="s">
        <v>369</v>
      </c>
      <c r="B5" s="41" t="s">
        <v>346</v>
      </c>
      <c r="C5" s="38" t="str">
        <f aca="false">IF($B5="","",IFERROR(VLOOKUP($B5,案件別収益!$A$4:$C$60,2,FALSE()),""))</f>
        <v>C003</v>
      </c>
      <c r="D5" s="54" t="str">
        <f aca="false">IF($B5="","",IFERROR(VLOOKUP($B5,案件別収益!$A$4:$C$60,3,FALSE()),""))</f>
        <v>□□会館</v>
      </c>
      <c r="E5" s="62" t="n">
        <v>46173</v>
      </c>
      <c r="F5" s="26" t="n">
        <v>160000</v>
      </c>
      <c r="G5" s="42" t="n">
        <f aca="false">IF($F5="","",ROUND((F5+IF($K5="",0,L5))*料金マスタ!$B$29,0))</f>
        <v>16000</v>
      </c>
      <c r="H5" s="43" t="n">
        <f aca="false">IF($F5="","",F5+IF($K5="",0,L5)+G5)</f>
        <v>176000</v>
      </c>
      <c r="I5" s="62" t="n">
        <v>46203</v>
      </c>
      <c r="J5" s="33" t="s">
        <v>198</v>
      </c>
      <c r="K5" s="29"/>
      <c r="L5" s="42" t="str">
        <f aca="false">IF($K5="","",IFERROR(VLOOKUP($K5,Pricing_Master!$B$4:$D$22,2,FALSE()),0))</f>
        <v/>
      </c>
    </row>
    <row r="6" customFormat="false" ht="15" hidden="false" customHeight="true" outlineLevel="0" collapsed="false">
      <c r="A6" s="19" t="s">
        <v>370</v>
      </c>
      <c r="B6" s="41" t="s">
        <v>344</v>
      </c>
      <c r="C6" s="38" t="str">
        <f aca="false">IF($B6="","",IFERROR(VLOOKUP($B6,案件別収益!$A$4:$C$60,2,FALSE()),""))</f>
        <v>C001</v>
      </c>
      <c r="D6" s="54" t="str">
        <f aca="false">IF($B6="","",IFERROR(VLOOKUP($B6,案件別収益!$A$4:$C$60,3,FALSE()),""))</f>
        <v>パーラー〇〇 本店</v>
      </c>
      <c r="E6" s="62" t="n">
        <v>46173</v>
      </c>
      <c r="F6" s="26" t="n">
        <v>100000</v>
      </c>
      <c r="G6" s="42" t="n">
        <f aca="false">IF($F6="","",ROUND((F6+IF($K6="",0,L6))*料金マスタ!$B$29,0))</f>
        <v>10000</v>
      </c>
      <c r="H6" s="43" t="n">
        <f aca="false">IF($F6="","",F6+IF($K6="",0,L6)+G6)</f>
        <v>110000</v>
      </c>
      <c r="I6" s="62" t="n">
        <v>46203</v>
      </c>
      <c r="J6" s="33" t="s">
        <v>191</v>
      </c>
      <c r="K6" s="29"/>
      <c r="L6" s="42" t="str">
        <f aca="false">IF($K6="","",IFERROR(VLOOKUP($K6,Pricing_Master!$B$4:$D$22,2,FALSE()),0))</f>
        <v/>
      </c>
    </row>
    <row r="7" customFormat="false" ht="15" hidden="false" customHeight="true" outlineLevel="0" collapsed="false">
      <c r="A7" s="19" t="s">
        <v>371</v>
      </c>
      <c r="B7" s="41" t="s">
        <v>336</v>
      </c>
      <c r="C7" s="38" t="str">
        <f aca="false">IF($B7="","",IFERROR(VLOOKUP($B7,案件別収益!$A$4:$C$60,2,FALSE()),""))</f>
        <v>C003</v>
      </c>
      <c r="D7" s="54" t="str">
        <f aca="false">IF($B7="","",IFERROR(VLOOKUP($B7,案件別収益!$A$4:$C$60,3,FALSE()),""))</f>
        <v>□□会館</v>
      </c>
      <c r="E7" s="62" t="n">
        <v>46203</v>
      </c>
      <c r="F7" s="26" t="n">
        <v>160000</v>
      </c>
      <c r="G7" s="42" t="n">
        <f aca="false">IF($F7="","",ROUND((F7+IF($K7="",0,L7))*料金マスタ!$B$29,0))</f>
        <v>16000</v>
      </c>
      <c r="H7" s="43" t="n">
        <f aca="false">IF($F7="","",F7+IF($K7="",0,L7)+G7)</f>
        <v>176000</v>
      </c>
      <c r="I7" s="62" t="n">
        <v>46234</v>
      </c>
      <c r="J7" s="33" t="s">
        <v>191</v>
      </c>
      <c r="K7" s="29"/>
      <c r="L7" s="42" t="str">
        <f aca="false">IF($K7="","",IFERROR(VLOOKUP($K7,Pricing_Master!$B$4:$D$22,2,FALSE()),0))</f>
        <v/>
      </c>
    </row>
    <row r="8" customFormat="false" ht="15" hidden="false" customHeight="true" outlineLevel="0" collapsed="false">
      <c r="A8" s="19" t="s">
        <v>372</v>
      </c>
      <c r="B8" s="41" t="s">
        <v>338</v>
      </c>
      <c r="C8" s="38" t="str">
        <f aca="false">IF($B8="","",IFERROR(VLOOKUP($B8,案件別収益!$A$4:$C$60,2,FALSE()),""))</f>
        <v>C001</v>
      </c>
      <c r="D8" s="54" t="str">
        <f aca="false">IF($B8="","",IFERROR(VLOOKUP($B8,案件別収益!$A$4:$C$60,3,FALSE()),""))</f>
        <v>パーラー〇〇 本店</v>
      </c>
      <c r="E8" s="62" t="n">
        <v>46203</v>
      </c>
      <c r="F8" s="26" t="n">
        <v>100000</v>
      </c>
      <c r="G8" s="42" t="n">
        <f aca="false">IF($F8="","",ROUND((F8+IF($K8="",0,L8))*料金マスタ!$B$29,0))</f>
        <v>10000</v>
      </c>
      <c r="H8" s="43" t="n">
        <f aca="false">IF($F8="","",F8+IF($K8="",0,L8)+G8)</f>
        <v>110000</v>
      </c>
      <c r="I8" s="62" t="n">
        <v>46234</v>
      </c>
      <c r="J8" s="33" t="s">
        <v>191</v>
      </c>
      <c r="K8" s="29"/>
      <c r="L8" s="42" t="str">
        <f aca="false">IF($K8="","",IFERROR(VLOOKUP($K8,Pricing_Master!$B$4:$D$22,2,FALSE()),0))</f>
        <v/>
      </c>
    </row>
    <row r="9" customFormat="false" ht="15" hidden="false" customHeight="true" outlineLevel="0" collapsed="false">
      <c r="C9" s="38" t="str">
        <f aca="false">IF($B9="","",IFERROR(VLOOKUP($B9,案件別収益!$A$4:$C$60,2,FALSE()),""))</f>
        <v/>
      </c>
      <c r="D9" s="54" t="str">
        <f aca="false">IF($B9="","",IFERROR(VLOOKUP($B9,案件別収益!$A$4:$C$60,3,FALSE()),""))</f>
        <v/>
      </c>
      <c r="G9" s="42" t="str">
        <f aca="false">IF($F9="","",ROUND((F9+IF($K9="",0,L9))*料金マスタ!$B$29,0))</f>
        <v/>
      </c>
      <c r="H9" s="43" t="str">
        <f aca="false">IF($F9="","",F9+IF($K9="",0,L9)+G9)</f>
        <v/>
      </c>
      <c r="K9" s="29"/>
      <c r="L9" s="42" t="str">
        <f aca="false">IF($K9="","",IFERROR(VLOOKUP($K9,Pricing_Master!$B$4:$D$22,2,FALSE()),0))</f>
        <v/>
      </c>
    </row>
    <row r="10" customFormat="false" ht="15" hidden="false" customHeight="true" outlineLevel="0" collapsed="false">
      <c r="C10" s="38" t="str">
        <f aca="false">IF($B10="","",IFERROR(VLOOKUP($B10,案件別収益!$A$4:$C$60,2,FALSE()),""))</f>
        <v/>
      </c>
      <c r="D10" s="54" t="str">
        <f aca="false">IF($B10="","",IFERROR(VLOOKUP($B10,案件別収益!$A$4:$C$60,3,FALSE()),""))</f>
        <v/>
      </c>
      <c r="G10" s="42" t="str">
        <f aca="false">IF($F10="","",ROUND((F10+IF($K10="",0,L10))*料金マスタ!$B$29,0))</f>
        <v/>
      </c>
      <c r="H10" s="43" t="str">
        <f aca="false">IF($F10="","",F10+IF($K10="",0,L10)+G10)</f>
        <v/>
      </c>
      <c r="K10" s="29"/>
      <c r="L10" s="42" t="str">
        <f aca="false">IF($K10="","",IFERROR(VLOOKUP($K10,Pricing_Master!$B$4:$D$22,2,FALSE()),0))</f>
        <v/>
      </c>
    </row>
    <row r="11" customFormat="false" ht="15" hidden="false" customHeight="true" outlineLevel="0" collapsed="false">
      <c r="C11" s="38" t="str">
        <f aca="false">IF($B11="","",IFERROR(VLOOKUP($B11,案件別収益!$A$4:$C$60,2,FALSE()),""))</f>
        <v/>
      </c>
      <c r="D11" s="54" t="str">
        <f aca="false">IF($B11="","",IFERROR(VLOOKUP($B11,案件別収益!$A$4:$C$60,3,FALSE()),""))</f>
        <v/>
      </c>
      <c r="G11" s="42" t="str">
        <f aca="false">IF($F11="","",ROUND((F11+IF($K11="",0,L11))*料金マスタ!$B$29,0))</f>
        <v/>
      </c>
      <c r="H11" s="43" t="str">
        <f aca="false">IF($F11="","",F11+IF($K11="",0,L11)+G11)</f>
        <v/>
      </c>
      <c r="K11" s="29"/>
      <c r="L11" s="42" t="str">
        <f aca="false">IF($K11="","",IFERROR(VLOOKUP($K11,Pricing_Master!$B$4:$D$22,2,FALSE()),0))</f>
        <v/>
      </c>
    </row>
    <row r="12" customFormat="false" ht="15" hidden="false" customHeight="true" outlineLevel="0" collapsed="false">
      <c r="C12" s="38" t="str">
        <f aca="false">IF($B12="","",IFERROR(VLOOKUP($B12,案件別収益!$A$4:$C$60,2,FALSE()),""))</f>
        <v/>
      </c>
      <c r="D12" s="54" t="str">
        <f aca="false">IF($B12="","",IFERROR(VLOOKUP($B12,案件別収益!$A$4:$C$60,3,FALSE()),""))</f>
        <v/>
      </c>
      <c r="G12" s="42" t="str">
        <f aca="false">IF($F12="","",ROUND((F12+IF($K12="",0,L12))*料金マスタ!$B$29,0))</f>
        <v/>
      </c>
      <c r="H12" s="43" t="str">
        <f aca="false">IF($F12="","",F12+IF($K12="",0,L12)+G12)</f>
        <v/>
      </c>
      <c r="K12" s="29"/>
      <c r="L12" s="42" t="str">
        <f aca="false">IF($K12="","",IFERROR(VLOOKUP($K12,Pricing_Master!$B$4:$D$22,2,FALSE()),0))</f>
        <v/>
      </c>
    </row>
    <row r="13" customFormat="false" ht="15" hidden="false" customHeight="true" outlineLevel="0" collapsed="false">
      <c r="C13" s="38" t="str">
        <f aca="false">IF($B13="","",IFERROR(VLOOKUP($B13,案件別収益!$A$4:$C$60,2,FALSE()),""))</f>
        <v/>
      </c>
      <c r="D13" s="54" t="str">
        <f aca="false">IF($B13="","",IFERROR(VLOOKUP($B13,案件別収益!$A$4:$C$60,3,FALSE()),""))</f>
        <v/>
      </c>
      <c r="G13" s="42" t="str">
        <f aca="false">IF($F13="","",ROUND((F13+IF($K13="",0,L13))*料金マスタ!$B$29,0))</f>
        <v/>
      </c>
      <c r="H13" s="43" t="str">
        <f aca="false">IF($F13="","",F13+IF($K13="",0,L13)+G13)</f>
        <v/>
      </c>
      <c r="K13" s="29"/>
      <c r="L13" s="42" t="str">
        <f aca="false">IF($K13="","",IFERROR(VLOOKUP($K13,Pricing_Master!$B$4:$D$22,2,FALSE()),0))</f>
        <v/>
      </c>
    </row>
    <row r="14" customFormat="false" ht="15" hidden="false" customHeight="true" outlineLevel="0" collapsed="false">
      <c r="C14" s="38" t="str">
        <f aca="false">IF($B14="","",IFERROR(VLOOKUP($B14,案件別収益!$A$4:$C$60,2,FALSE()),""))</f>
        <v/>
      </c>
      <c r="D14" s="54" t="str">
        <f aca="false">IF($B14="","",IFERROR(VLOOKUP($B14,案件別収益!$A$4:$C$60,3,FALSE()),""))</f>
        <v/>
      </c>
      <c r="G14" s="42" t="str">
        <f aca="false">IF($F14="","",ROUND((F14+IF($K14="",0,L14))*料金マスタ!$B$29,0))</f>
        <v/>
      </c>
      <c r="H14" s="43" t="str">
        <f aca="false">IF($F14="","",F14+IF($K14="",0,L14)+G14)</f>
        <v/>
      </c>
      <c r="K14" s="29"/>
      <c r="L14" s="42" t="str">
        <f aca="false">IF($K14="","",IFERROR(VLOOKUP($K14,Pricing_Master!$B$4:$D$22,2,FALSE()),0))</f>
        <v/>
      </c>
    </row>
    <row r="15" customFormat="false" ht="15" hidden="false" customHeight="true" outlineLevel="0" collapsed="false">
      <c r="C15" s="38" t="str">
        <f aca="false">IF($B15="","",IFERROR(VLOOKUP($B15,案件別収益!$A$4:$C$60,2,FALSE()),""))</f>
        <v/>
      </c>
      <c r="D15" s="54" t="str">
        <f aca="false">IF($B15="","",IFERROR(VLOOKUP($B15,案件別収益!$A$4:$C$60,3,FALSE()),""))</f>
        <v/>
      </c>
      <c r="G15" s="42" t="str">
        <f aca="false">IF($F15="","",ROUND((F15+IF($K15="",0,L15))*料金マスタ!$B$29,0))</f>
        <v/>
      </c>
      <c r="H15" s="43" t="str">
        <f aca="false">IF($F15="","",F15+IF($K15="",0,L15)+G15)</f>
        <v/>
      </c>
      <c r="K15" s="29"/>
      <c r="L15" s="42" t="str">
        <f aca="false">IF($K15="","",IFERROR(VLOOKUP($K15,Pricing_Master!$B$4:$D$22,2,FALSE()),0))</f>
        <v/>
      </c>
    </row>
    <row r="16" customFormat="false" ht="15" hidden="false" customHeight="true" outlineLevel="0" collapsed="false">
      <c r="C16" s="38" t="str">
        <f aca="false">IF($B16="","",IFERROR(VLOOKUP($B16,案件別収益!$A$4:$C$60,2,FALSE()),""))</f>
        <v/>
      </c>
      <c r="D16" s="54" t="str">
        <f aca="false">IF($B16="","",IFERROR(VLOOKUP($B16,案件別収益!$A$4:$C$60,3,FALSE()),""))</f>
        <v/>
      </c>
      <c r="G16" s="42" t="str">
        <f aca="false">IF($F16="","",ROUND((F16+IF($K16="",0,L16))*料金マスタ!$B$29,0))</f>
        <v/>
      </c>
      <c r="H16" s="43" t="str">
        <f aca="false">IF($F16="","",F16+IF($K16="",0,L16)+G16)</f>
        <v/>
      </c>
      <c r="K16" s="29"/>
      <c r="L16" s="42" t="str">
        <f aca="false">IF($K16="","",IFERROR(VLOOKUP($K16,Pricing_Master!$B$4:$D$22,2,FALSE()),0))</f>
        <v/>
      </c>
    </row>
    <row r="17" customFormat="false" ht="15" hidden="false" customHeight="true" outlineLevel="0" collapsed="false">
      <c r="C17" s="38" t="str">
        <f aca="false">IF($B17="","",IFERROR(VLOOKUP($B17,案件別収益!$A$4:$C$60,2,FALSE()),""))</f>
        <v/>
      </c>
      <c r="D17" s="54" t="str">
        <f aca="false">IF($B17="","",IFERROR(VLOOKUP($B17,案件別収益!$A$4:$C$60,3,FALSE()),""))</f>
        <v/>
      </c>
      <c r="G17" s="42" t="str">
        <f aca="false">IF($F17="","",ROUND((F17+IF($K17="",0,L17))*料金マスタ!$B$29,0))</f>
        <v/>
      </c>
      <c r="H17" s="43" t="str">
        <f aca="false">IF($F17="","",F17+IF($K17="",0,L17)+G17)</f>
        <v/>
      </c>
      <c r="K17" s="29"/>
      <c r="L17" s="42" t="str">
        <f aca="false">IF($K17="","",IFERROR(VLOOKUP($K17,Pricing_Master!$B$4:$D$22,2,FALSE()),0))</f>
        <v/>
      </c>
    </row>
    <row r="18" customFormat="false" ht="15" hidden="false" customHeight="true" outlineLevel="0" collapsed="false">
      <c r="C18" s="38" t="str">
        <f aca="false">IF($B18="","",IFERROR(VLOOKUP($B18,案件別収益!$A$4:$C$60,2,FALSE()),""))</f>
        <v/>
      </c>
      <c r="D18" s="54" t="str">
        <f aca="false">IF($B18="","",IFERROR(VLOOKUP($B18,案件別収益!$A$4:$C$60,3,FALSE()),""))</f>
        <v/>
      </c>
      <c r="G18" s="42" t="str">
        <f aca="false">IF($F18="","",ROUND((F18+IF($K18="",0,L18))*料金マスタ!$B$29,0))</f>
        <v/>
      </c>
      <c r="H18" s="43" t="str">
        <f aca="false">IF($F18="","",F18+IF($K18="",0,L18)+G18)</f>
        <v/>
      </c>
      <c r="K18" s="29"/>
      <c r="L18" s="42" t="str">
        <f aca="false">IF($K18="","",IFERROR(VLOOKUP($K18,Pricing_Master!$B$4:$D$22,2,FALSE()),0))</f>
        <v/>
      </c>
    </row>
    <row r="19" customFormat="false" ht="15" hidden="false" customHeight="true" outlineLevel="0" collapsed="false">
      <c r="C19" s="38" t="str">
        <f aca="false">IF($B19="","",IFERROR(VLOOKUP($B19,案件別収益!$A$4:$C$60,2,FALSE()),""))</f>
        <v/>
      </c>
      <c r="D19" s="54" t="str">
        <f aca="false">IF($B19="","",IFERROR(VLOOKUP($B19,案件別収益!$A$4:$C$60,3,FALSE()),""))</f>
        <v/>
      </c>
      <c r="G19" s="42" t="str">
        <f aca="false">IF($F19="","",ROUND((F19+IF($K19="",0,L19))*料金マスタ!$B$29,0))</f>
        <v/>
      </c>
      <c r="H19" s="43" t="str">
        <f aca="false">IF($F19="","",F19+IF($K19="",0,L19)+G19)</f>
        <v/>
      </c>
      <c r="K19" s="29"/>
      <c r="L19" s="42" t="str">
        <f aca="false">IF($K19="","",IFERROR(VLOOKUP($K19,Pricing_Master!$B$4:$D$22,2,FALSE()),0))</f>
        <v/>
      </c>
    </row>
    <row r="20" customFormat="false" ht="15" hidden="false" customHeight="true" outlineLevel="0" collapsed="false">
      <c r="C20" s="38" t="str">
        <f aca="false">IF($B20="","",IFERROR(VLOOKUP($B20,案件別収益!$A$4:$C$60,2,FALSE()),""))</f>
        <v/>
      </c>
      <c r="D20" s="54" t="str">
        <f aca="false">IF($B20="","",IFERROR(VLOOKUP($B20,案件別収益!$A$4:$C$60,3,FALSE()),""))</f>
        <v/>
      </c>
      <c r="G20" s="42" t="str">
        <f aca="false">IF($F20="","",ROUND((F20+IF($K20="",0,L20))*料金マスタ!$B$29,0))</f>
        <v/>
      </c>
      <c r="H20" s="43" t="str">
        <f aca="false">IF($F20="","",F20+IF($K20="",0,L20)+G20)</f>
        <v/>
      </c>
      <c r="K20" s="29"/>
      <c r="L20" s="42" t="str">
        <f aca="false">IF($K20="","",IFERROR(VLOOKUP($K20,Pricing_Master!$B$4:$D$22,2,FALSE()),0))</f>
        <v/>
      </c>
    </row>
    <row r="21" customFormat="false" ht="15" hidden="false" customHeight="true" outlineLevel="0" collapsed="false">
      <c r="C21" s="38" t="str">
        <f aca="false">IF($B21="","",IFERROR(VLOOKUP($B21,案件別収益!$A$4:$C$60,2,FALSE()),""))</f>
        <v/>
      </c>
      <c r="D21" s="54" t="str">
        <f aca="false">IF($B21="","",IFERROR(VLOOKUP($B21,案件別収益!$A$4:$C$60,3,FALSE()),""))</f>
        <v/>
      </c>
      <c r="G21" s="42" t="str">
        <f aca="false">IF($F21="","",ROUND((F21+IF($K21="",0,L21))*料金マスタ!$B$29,0))</f>
        <v/>
      </c>
      <c r="H21" s="43" t="str">
        <f aca="false">IF($F21="","",F21+IF($K21="",0,L21)+G21)</f>
        <v/>
      </c>
      <c r="K21" s="29"/>
      <c r="L21" s="42" t="str">
        <f aca="false">IF($K21="","",IFERROR(VLOOKUP($K21,Pricing_Master!$B$4:$D$22,2,FALSE()),0))</f>
        <v/>
      </c>
    </row>
    <row r="22" customFormat="false" ht="15" hidden="false" customHeight="true" outlineLevel="0" collapsed="false">
      <c r="C22" s="38" t="str">
        <f aca="false">IF($B22="","",IFERROR(VLOOKUP($B22,案件別収益!$A$4:$C$60,2,FALSE()),""))</f>
        <v/>
      </c>
      <c r="D22" s="54" t="str">
        <f aca="false">IF($B22="","",IFERROR(VLOOKUP($B22,案件別収益!$A$4:$C$60,3,FALSE()),""))</f>
        <v/>
      </c>
      <c r="G22" s="42" t="str">
        <f aca="false">IF($F22="","",ROUND((F22+IF($K22="",0,L22))*料金マスタ!$B$29,0))</f>
        <v/>
      </c>
      <c r="H22" s="43" t="str">
        <f aca="false">IF($F22="","",F22+IF($K22="",0,L22)+G22)</f>
        <v/>
      </c>
      <c r="K22" s="29"/>
      <c r="L22" s="42" t="str">
        <f aca="false">IF($K22="","",IFERROR(VLOOKUP($K22,Pricing_Master!$B$4:$D$22,2,FALSE()),0))</f>
        <v/>
      </c>
    </row>
    <row r="23" customFormat="false" ht="15" hidden="false" customHeight="true" outlineLevel="0" collapsed="false">
      <c r="C23" s="38" t="str">
        <f aca="false">IF($B23="","",IFERROR(VLOOKUP($B23,案件別収益!$A$4:$C$60,2,FALSE()),""))</f>
        <v/>
      </c>
      <c r="D23" s="54" t="str">
        <f aca="false">IF($B23="","",IFERROR(VLOOKUP($B23,案件別収益!$A$4:$C$60,3,FALSE()),""))</f>
        <v/>
      </c>
      <c r="G23" s="42" t="str">
        <f aca="false">IF($F23="","",ROUND((F23+IF($K23="",0,L23))*料金マスタ!$B$29,0))</f>
        <v/>
      </c>
      <c r="H23" s="43" t="str">
        <f aca="false">IF($F23="","",F23+IF($K23="",0,L23)+G23)</f>
        <v/>
      </c>
      <c r="K23" s="29"/>
      <c r="L23" s="42" t="str">
        <f aca="false">IF($K23="","",IFERROR(VLOOKUP($K23,Pricing_Master!$B$4:$D$22,2,FALSE()),0))</f>
        <v/>
      </c>
    </row>
    <row r="24" customFormat="false" ht="15" hidden="false" customHeight="true" outlineLevel="0" collapsed="false">
      <c r="C24" s="38" t="str">
        <f aca="false">IF($B24="","",IFERROR(VLOOKUP($B24,案件別収益!$A$4:$C$60,2,FALSE()),""))</f>
        <v/>
      </c>
      <c r="D24" s="54" t="str">
        <f aca="false">IF($B24="","",IFERROR(VLOOKUP($B24,案件別収益!$A$4:$C$60,3,FALSE()),""))</f>
        <v/>
      </c>
      <c r="G24" s="42" t="str">
        <f aca="false">IF($F24="","",ROUND((F24+IF($K24="",0,L24))*料金マスタ!$B$29,0))</f>
        <v/>
      </c>
      <c r="H24" s="43" t="str">
        <f aca="false">IF($F24="","",F24+IF($K24="",0,L24)+G24)</f>
        <v/>
      </c>
      <c r="K24" s="29"/>
      <c r="L24" s="42" t="str">
        <f aca="false">IF($K24="","",IFERROR(VLOOKUP($K24,Pricing_Master!$B$4:$D$22,2,FALSE()),0))</f>
        <v/>
      </c>
    </row>
    <row r="25" customFormat="false" ht="15" hidden="false" customHeight="true" outlineLevel="0" collapsed="false">
      <c r="C25" s="38" t="str">
        <f aca="false">IF($B25="","",IFERROR(VLOOKUP($B25,案件別収益!$A$4:$C$60,2,FALSE()),""))</f>
        <v/>
      </c>
      <c r="D25" s="54" t="str">
        <f aca="false">IF($B25="","",IFERROR(VLOOKUP($B25,案件別収益!$A$4:$C$60,3,FALSE()),""))</f>
        <v/>
      </c>
      <c r="G25" s="42" t="str">
        <f aca="false">IF($F25="","",ROUND((F25+IF($K25="",0,L25))*料金マスタ!$B$29,0))</f>
        <v/>
      </c>
      <c r="H25" s="43" t="str">
        <f aca="false">IF($F25="","",F25+IF($K25="",0,L25)+G25)</f>
        <v/>
      </c>
      <c r="K25" s="29"/>
      <c r="L25" s="42" t="str">
        <f aca="false">IF($K25="","",IFERROR(VLOOKUP($K25,Pricing_Master!$B$4:$D$22,2,FALSE()),0))</f>
        <v/>
      </c>
    </row>
    <row r="26" customFormat="false" ht="15" hidden="false" customHeight="true" outlineLevel="0" collapsed="false">
      <c r="C26" s="38" t="str">
        <f aca="false">IF($B26="","",IFERROR(VLOOKUP($B26,案件別収益!$A$4:$C$60,2,FALSE()),""))</f>
        <v/>
      </c>
      <c r="D26" s="54" t="str">
        <f aca="false">IF($B26="","",IFERROR(VLOOKUP($B26,案件別収益!$A$4:$C$60,3,FALSE()),""))</f>
        <v/>
      </c>
      <c r="G26" s="42" t="str">
        <f aca="false">IF($F26="","",ROUND((F26+IF($K26="",0,L26))*料金マスタ!$B$29,0))</f>
        <v/>
      </c>
      <c r="H26" s="43" t="str">
        <f aca="false">IF($F26="","",F26+IF($K26="",0,L26)+G26)</f>
        <v/>
      </c>
      <c r="K26" s="29"/>
      <c r="L26" s="42" t="str">
        <f aca="false">IF($K26="","",IFERROR(VLOOKUP($K26,Pricing_Master!$B$4:$D$22,2,FALSE()),0))</f>
        <v/>
      </c>
    </row>
    <row r="27" customFormat="false" ht="15" hidden="false" customHeight="true" outlineLevel="0" collapsed="false">
      <c r="C27" s="38" t="str">
        <f aca="false">IF($B27="","",IFERROR(VLOOKUP($B27,案件別収益!$A$4:$C$60,2,FALSE()),""))</f>
        <v/>
      </c>
      <c r="D27" s="54" t="str">
        <f aca="false">IF($B27="","",IFERROR(VLOOKUP($B27,案件別収益!$A$4:$C$60,3,FALSE()),""))</f>
        <v/>
      </c>
      <c r="G27" s="42" t="str">
        <f aca="false">IF($F27="","",ROUND((F27+IF($K27="",0,L27))*料金マスタ!$B$29,0))</f>
        <v/>
      </c>
      <c r="H27" s="43" t="str">
        <f aca="false">IF($F27="","",F27+IF($K27="",0,L27)+G27)</f>
        <v/>
      </c>
      <c r="K27" s="29"/>
      <c r="L27" s="42" t="str">
        <f aca="false">IF($K27="","",IFERROR(VLOOKUP($K27,Pricing_Master!$B$4:$D$22,2,FALSE()),0))</f>
        <v/>
      </c>
    </row>
    <row r="28" customFormat="false" ht="15" hidden="false" customHeight="true" outlineLevel="0" collapsed="false">
      <c r="C28" s="38" t="str">
        <f aca="false">IF($B28="","",IFERROR(VLOOKUP($B28,案件別収益!$A$4:$C$60,2,FALSE()),""))</f>
        <v/>
      </c>
      <c r="D28" s="54" t="str">
        <f aca="false">IF($B28="","",IFERROR(VLOOKUP($B28,案件別収益!$A$4:$C$60,3,FALSE()),""))</f>
        <v/>
      </c>
      <c r="G28" s="42" t="str">
        <f aca="false">IF($F28="","",ROUND((F28+IF($K28="",0,L28))*料金マスタ!$B$29,0))</f>
        <v/>
      </c>
      <c r="H28" s="43" t="str">
        <f aca="false">IF($F28="","",F28+IF($K28="",0,L28)+G28)</f>
        <v/>
      </c>
      <c r="K28" s="29"/>
      <c r="L28" s="42" t="str">
        <f aca="false">IF($K28="","",IFERROR(VLOOKUP($K28,Pricing_Master!$B$4:$D$22,2,FALSE()),0))</f>
        <v/>
      </c>
    </row>
    <row r="29" customFormat="false" ht="15" hidden="false" customHeight="true" outlineLevel="0" collapsed="false">
      <c r="C29" s="38" t="str">
        <f aca="false">IF($B29="","",IFERROR(VLOOKUP($B29,案件別収益!$A$4:$C$60,2,FALSE()),""))</f>
        <v/>
      </c>
      <c r="D29" s="54" t="str">
        <f aca="false">IF($B29="","",IFERROR(VLOOKUP($B29,案件別収益!$A$4:$C$60,3,FALSE()),""))</f>
        <v/>
      </c>
      <c r="G29" s="42" t="str">
        <f aca="false">IF($F29="","",ROUND((F29+IF($K29="",0,L29))*料金マスタ!$B$29,0))</f>
        <v/>
      </c>
      <c r="H29" s="43" t="str">
        <f aca="false">IF($F29="","",F29+IF($K29="",0,L29)+G29)</f>
        <v/>
      </c>
      <c r="K29" s="29"/>
      <c r="L29" s="42" t="str">
        <f aca="false">IF($K29="","",IFERROR(VLOOKUP($K29,Pricing_Master!$B$4:$D$22,2,FALSE()),0))</f>
        <v/>
      </c>
    </row>
    <row r="30" customFormat="false" ht="15" hidden="false" customHeight="true" outlineLevel="0" collapsed="false">
      <c r="C30" s="38" t="str">
        <f aca="false">IF($B30="","",IFERROR(VLOOKUP($B30,案件別収益!$A$4:$C$60,2,FALSE()),""))</f>
        <v/>
      </c>
      <c r="D30" s="54" t="str">
        <f aca="false">IF($B30="","",IFERROR(VLOOKUP($B30,案件別収益!$A$4:$C$60,3,FALSE()),""))</f>
        <v/>
      </c>
      <c r="G30" s="42" t="str">
        <f aca="false">IF($F30="","",ROUND((F30+IF($K30="",0,L30))*料金マスタ!$B$29,0))</f>
        <v/>
      </c>
      <c r="H30" s="43" t="str">
        <f aca="false">IF($F30="","",F30+IF($K30="",0,L30)+G30)</f>
        <v/>
      </c>
      <c r="K30" s="29"/>
      <c r="L30" s="42" t="str">
        <f aca="false">IF($K30="","",IFERROR(VLOOKUP($K30,Pricing_Master!$B$4:$D$22,2,FALSE()),0))</f>
        <v/>
      </c>
    </row>
    <row r="31" customFormat="false" ht="15" hidden="false" customHeight="true" outlineLevel="0" collapsed="false">
      <c r="C31" s="38" t="str">
        <f aca="false">IF($B31="","",IFERROR(VLOOKUP($B31,案件別収益!$A$4:$C$60,2,FALSE()),""))</f>
        <v/>
      </c>
      <c r="D31" s="54" t="str">
        <f aca="false">IF($B31="","",IFERROR(VLOOKUP($B31,案件別収益!$A$4:$C$60,3,FALSE()),""))</f>
        <v/>
      </c>
      <c r="G31" s="42" t="str">
        <f aca="false">IF($F31="","",ROUND((F31+IF($K31="",0,L31))*料金マスタ!$B$29,0))</f>
        <v/>
      </c>
      <c r="H31" s="43" t="str">
        <f aca="false">IF($F31="","",F31+IF($K31="",0,L31)+G31)</f>
        <v/>
      </c>
      <c r="K31" s="29"/>
      <c r="L31" s="42" t="str">
        <f aca="false">IF($K31="","",IFERROR(VLOOKUP($K31,Pricing_Master!$B$4:$D$22,2,FALSE()),0))</f>
        <v/>
      </c>
    </row>
    <row r="32" customFormat="false" ht="15" hidden="false" customHeight="true" outlineLevel="0" collapsed="false">
      <c r="C32" s="38" t="str">
        <f aca="false">IF($B32="","",IFERROR(VLOOKUP($B32,案件別収益!$A$4:$C$60,2,FALSE()),""))</f>
        <v/>
      </c>
      <c r="D32" s="54" t="str">
        <f aca="false">IF($B32="","",IFERROR(VLOOKUP($B32,案件別収益!$A$4:$C$60,3,FALSE()),""))</f>
        <v/>
      </c>
      <c r="G32" s="42" t="str">
        <f aca="false">IF($F32="","",ROUND((F32+IF($K32="",0,L32))*料金マスタ!$B$29,0))</f>
        <v/>
      </c>
      <c r="H32" s="43" t="str">
        <f aca="false">IF($F32="","",F32+IF($K32="",0,L32)+G32)</f>
        <v/>
      </c>
      <c r="K32" s="29"/>
      <c r="L32" s="42" t="str">
        <f aca="false">IF($K32="","",IFERROR(VLOOKUP($K32,Pricing_Master!$B$4:$D$22,2,FALSE()),0))</f>
        <v/>
      </c>
    </row>
    <row r="33" customFormat="false" ht="15" hidden="false" customHeight="true" outlineLevel="0" collapsed="false">
      <c r="C33" s="38" t="str">
        <f aca="false">IF($B33="","",IFERROR(VLOOKUP($B33,案件別収益!$A$4:$C$60,2,FALSE()),""))</f>
        <v/>
      </c>
      <c r="D33" s="54" t="str">
        <f aca="false">IF($B33="","",IFERROR(VLOOKUP($B33,案件別収益!$A$4:$C$60,3,FALSE()),""))</f>
        <v/>
      </c>
      <c r="G33" s="42" t="str">
        <f aca="false">IF($F33="","",ROUND((F33+IF($K33="",0,L33))*料金マスタ!$B$29,0))</f>
        <v/>
      </c>
      <c r="H33" s="43" t="str">
        <f aca="false">IF($F33="","",F33+IF($K33="",0,L33)+G33)</f>
        <v/>
      </c>
      <c r="K33" s="29"/>
      <c r="L33" s="42" t="str">
        <f aca="false">IF($K33="","",IFERROR(VLOOKUP($K33,Pricing_Master!$B$4:$D$22,2,FALSE()),0))</f>
        <v/>
      </c>
    </row>
    <row r="34" customFormat="false" ht="15" hidden="false" customHeight="true" outlineLevel="0" collapsed="false">
      <c r="C34" s="38" t="str">
        <f aca="false">IF($B34="","",IFERROR(VLOOKUP($B34,案件別収益!$A$4:$C$60,2,FALSE()),""))</f>
        <v/>
      </c>
      <c r="D34" s="54" t="str">
        <f aca="false">IF($B34="","",IFERROR(VLOOKUP($B34,案件別収益!$A$4:$C$60,3,FALSE()),""))</f>
        <v/>
      </c>
      <c r="G34" s="42" t="str">
        <f aca="false">IF($F34="","",ROUND((F34+IF($K34="",0,L34))*料金マスタ!$B$29,0))</f>
        <v/>
      </c>
      <c r="H34" s="43" t="str">
        <f aca="false">IF($F34="","",F34+IF($K34="",0,L34)+G34)</f>
        <v/>
      </c>
      <c r="K34" s="29"/>
      <c r="L34" s="42" t="str">
        <f aca="false">IF($K34="","",IFERROR(VLOOKUP($K34,Pricing_Master!$B$4:$D$22,2,FALSE()),0))</f>
        <v/>
      </c>
    </row>
    <row r="35" customFormat="false" ht="15" hidden="false" customHeight="true" outlineLevel="0" collapsed="false">
      <c r="C35" s="38" t="str">
        <f aca="false">IF($B35="","",IFERROR(VLOOKUP($B35,案件別収益!$A$4:$C$60,2,FALSE()),""))</f>
        <v/>
      </c>
      <c r="D35" s="54" t="str">
        <f aca="false">IF($B35="","",IFERROR(VLOOKUP($B35,案件別収益!$A$4:$C$60,3,FALSE()),""))</f>
        <v/>
      </c>
      <c r="G35" s="42" t="str">
        <f aca="false">IF($F35="","",ROUND((F35+IF($K35="",0,L35))*料金マスタ!$B$29,0))</f>
        <v/>
      </c>
      <c r="H35" s="43" t="str">
        <f aca="false">IF($F35="","",F35+IF($K35="",0,L35)+G35)</f>
        <v/>
      </c>
      <c r="K35" s="29"/>
      <c r="L35" s="42" t="str">
        <f aca="false">IF($K35="","",IFERROR(VLOOKUP($K35,Pricing_Master!$B$4:$D$22,2,FALSE()),0))</f>
        <v/>
      </c>
    </row>
    <row r="36" customFormat="false" ht="15" hidden="false" customHeight="true" outlineLevel="0" collapsed="false">
      <c r="C36" s="38" t="str">
        <f aca="false">IF($B36="","",IFERROR(VLOOKUP($B36,案件別収益!$A$4:$C$60,2,FALSE()),""))</f>
        <v/>
      </c>
      <c r="D36" s="54" t="str">
        <f aca="false">IF($B36="","",IFERROR(VLOOKUP($B36,案件別収益!$A$4:$C$60,3,FALSE()),""))</f>
        <v/>
      </c>
      <c r="G36" s="42" t="str">
        <f aca="false">IF($F36="","",ROUND((F36+IF($K36="",0,L36))*料金マスタ!$B$29,0))</f>
        <v/>
      </c>
      <c r="H36" s="43" t="str">
        <f aca="false">IF($F36="","",F36+IF($K36="",0,L36)+G36)</f>
        <v/>
      </c>
      <c r="K36" s="29"/>
      <c r="L36" s="42" t="str">
        <f aca="false">IF($K36="","",IFERROR(VLOOKUP($K36,Pricing_Master!$B$4:$D$22,2,FALSE()),0))</f>
        <v/>
      </c>
    </row>
    <row r="37" customFormat="false" ht="15" hidden="false" customHeight="true" outlineLevel="0" collapsed="false">
      <c r="C37" s="38" t="str">
        <f aca="false">IF($B37="","",IFERROR(VLOOKUP($B37,案件別収益!$A$4:$C$60,2,FALSE()),""))</f>
        <v/>
      </c>
      <c r="D37" s="54" t="str">
        <f aca="false">IF($B37="","",IFERROR(VLOOKUP($B37,案件別収益!$A$4:$C$60,3,FALSE()),""))</f>
        <v/>
      </c>
      <c r="G37" s="42" t="str">
        <f aca="false">IF($F37="","",ROUND((F37+IF($K37="",0,L37))*料金マスタ!$B$29,0))</f>
        <v/>
      </c>
      <c r="H37" s="43" t="str">
        <f aca="false">IF($F37="","",F37+IF($K37="",0,L37)+G37)</f>
        <v/>
      </c>
      <c r="K37" s="29"/>
      <c r="L37" s="42" t="str">
        <f aca="false">IF($K37="","",IFERROR(VLOOKUP($K37,Pricing_Master!$B$4:$D$22,2,FALSE()),0))</f>
        <v/>
      </c>
    </row>
    <row r="38" customFormat="false" ht="15" hidden="false" customHeight="true" outlineLevel="0" collapsed="false">
      <c r="C38" s="38" t="str">
        <f aca="false">IF($B38="","",IFERROR(VLOOKUP($B38,案件別収益!$A$4:$C$60,2,FALSE()),""))</f>
        <v/>
      </c>
      <c r="D38" s="54" t="str">
        <f aca="false">IF($B38="","",IFERROR(VLOOKUP($B38,案件別収益!$A$4:$C$60,3,FALSE()),""))</f>
        <v/>
      </c>
      <c r="G38" s="42" t="str">
        <f aca="false">IF($F38="","",ROUND((F38+IF($K38="",0,L38))*料金マスタ!$B$29,0))</f>
        <v/>
      </c>
      <c r="H38" s="43" t="str">
        <f aca="false">IF($F38="","",F38+IF($K38="",0,L38)+G38)</f>
        <v/>
      </c>
      <c r="K38" s="29"/>
      <c r="L38" s="42" t="str">
        <f aca="false">IF($K38="","",IFERROR(VLOOKUP($K38,Pricing_Master!$B$4:$D$22,2,FALSE()),0))</f>
        <v/>
      </c>
    </row>
    <row r="39" customFormat="false" ht="15" hidden="false" customHeight="true" outlineLevel="0" collapsed="false">
      <c r="C39" s="38" t="str">
        <f aca="false">IF($B39="","",IFERROR(VLOOKUP($B39,案件別収益!$A$4:$C$60,2,FALSE()),""))</f>
        <v/>
      </c>
      <c r="D39" s="54" t="str">
        <f aca="false">IF($B39="","",IFERROR(VLOOKUP($B39,案件別収益!$A$4:$C$60,3,FALSE()),""))</f>
        <v/>
      </c>
      <c r="G39" s="42" t="str">
        <f aca="false">IF($F39="","",ROUND((F39+IF($K39="",0,L39))*料金マスタ!$B$29,0))</f>
        <v/>
      </c>
      <c r="H39" s="43" t="str">
        <f aca="false">IF($F39="","",F39+IF($K39="",0,L39)+G39)</f>
        <v/>
      </c>
      <c r="K39" s="29"/>
      <c r="L39" s="42" t="str">
        <f aca="false">IF($K39="","",IFERROR(VLOOKUP($K39,Pricing_Master!$B$4:$D$22,2,FALSE()),0))</f>
        <v/>
      </c>
    </row>
    <row r="40" customFormat="false" ht="15" hidden="false" customHeight="true" outlineLevel="0" collapsed="false">
      <c r="C40" s="38" t="str">
        <f aca="false">IF($B40="","",IFERROR(VLOOKUP($B40,案件別収益!$A$4:$C$60,2,FALSE()),""))</f>
        <v/>
      </c>
      <c r="D40" s="54" t="str">
        <f aca="false">IF($B40="","",IFERROR(VLOOKUP($B40,案件別収益!$A$4:$C$60,3,FALSE()),""))</f>
        <v/>
      </c>
      <c r="G40" s="42" t="str">
        <f aca="false">IF($F40="","",ROUND((F40+IF($K40="",0,L40))*料金マスタ!$B$29,0))</f>
        <v/>
      </c>
      <c r="H40" s="43" t="str">
        <f aca="false">IF($F40="","",F40+IF($K40="",0,L40)+G40)</f>
        <v/>
      </c>
      <c r="K40" s="29"/>
      <c r="L40" s="42" t="str">
        <f aca="false">IF($K40="","",IFERROR(VLOOKUP($K40,Pricing_Master!$B$4:$D$22,2,FALSE()),0))</f>
        <v/>
      </c>
    </row>
    <row r="41" customFormat="false" ht="15" hidden="false" customHeight="true" outlineLevel="0" collapsed="false">
      <c r="C41" s="38" t="str">
        <f aca="false">IF($B41="","",IFERROR(VLOOKUP($B41,案件別収益!$A$4:$C$60,2,FALSE()),""))</f>
        <v/>
      </c>
      <c r="D41" s="54" t="str">
        <f aca="false">IF($B41="","",IFERROR(VLOOKUP($B41,案件別収益!$A$4:$C$60,3,FALSE()),""))</f>
        <v/>
      </c>
      <c r="G41" s="42" t="str">
        <f aca="false">IF($F41="","",ROUND((F41+IF($K41="",0,L41))*料金マスタ!$B$29,0))</f>
        <v/>
      </c>
      <c r="H41" s="43" t="str">
        <f aca="false">IF($F41="","",F41+IF($K41="",0,L41)+G41)</f>
        <v/>
      </c>
      <c r="K41" s="29"/>
      <c r="L41" s="42" t="str">
        <f aca="false">IF($K41="","",IFERROR(VLOOKUP($K41,Pricing_Master!$B$4:$D$22,2,FALSE()),0))</f>
        <v/>
      </c>
    </row>
    <row r="42" customFormat="false" ht="15" hidden="false" customHeight="true" outlineLevel="0" collapsed="false">
      <c r="C42" s="38" t="str">
        <f aca="false">IF($B42="","",IFERROR(VLOOKUP($B42,案件別収益!$A$4:$C$60,2,FALSE()),""))</f>
        <v/>
      </c>
      <c r="D42" s="54" t="str">
        <f aca="false">IF($B42="","",IFERROR(VLOOKUP($B42,案件別収益!$A$4:$C$60,3,FALSE()),""))</f>
        <v/>
      </c>
      <c r="G42" s="42" t="str">
        <f aca="false">IF($F42="","",ROUND((F42+IF($K42="",0,L42))*料金マスタ!$B$29,0))</f>
        <v/>
      </c>
      <c r="H42" s="43" t="str">
        <f aca="false">IF($F42="","",F42+IF($K42="",0,L42)+G42)</f>
        <v/>
      </c>
      <c r="K42" s="29"/>
      <c r="L42" s="42" t="str">
        <f aca="false">IF($K42="","",IFERROR(VLOOKUP($K42,Pricing_Master!$B$4:$D$22,2,FALSE()),0))</f>
        <v/>
      </c>
    </row>
    <row r="43" customFormat="false" ht="15" hidden="false" customHeight="true" outlineLevel="0" collapsed="false">
      <c r="C43" s="38" t="str">
        <f aca="false">IF($B43="","",IFERROR(VLOOKUP($B43,案件別収益!$A$4:$C$60,2,FALSE()),""))</f>
        <v/>
      </c>
      <c r="D43" s="54" t="str">
        <f aca="false">IF($B43="","",IFERROR(VLOOKUP($B43,案件別収益!$A$4:$C$60,3,FALSE()),""))</f>
        <v/>
      </c>
      <c r="G43" s="42" t="str">
        <f aca="false">IF($F43="","",ROUND((F43+IF($K43="",0,L43))*料金マスタ!$B$29,0))</f>
        <v/>
      </c>
      <c r="H43" s="43" t="str">
        <f aca="false">IF($F43="","",F43+IF($K43="",0,L43)+G43)</f>
        <v/>
      </c>
      <c r="K43" s="29"/>
      <c r="L43" s="42" t="str">
        <f aca="false">IF($K43="","",IFERROR(VLOOKUP($K43,Pricing_Master!$B$4:$D$22,2,FALSE()),0))</f>
        <v/>
      </c>
    </row>
    <row r="44" customFormat="false" ht="15" hidden="false" customHeight="true" outlineLevel="0" collapsed="false">
      <c r="C44" s="38" t="str">
        <f aca="false">IF($B44="","",IFERROR(VLOOKUP($B44,案件別収益!$A$4:$C$60,2,FALSE()),""))</f>
        <v/>
      </c>
      <c r="D44" s="54" t="str">
        <f aca="false">IF($B44="","",IFERROR(VLOOKUP($B44,案件別収益!$A$4:$C$60,3,FALSE()),""))</f>
        <v/>
      </c>
      <c r="G44" s="42" t="str">
        <f aca="false">IF($F44="","",ROUND((F44+IF($K44="",0,L44))*料金マスタ!$B$29,0))</f>
        <v/>
      </c>
      <c r="H44" s="43" t="str">
        <f aca="false">IF($F44="","",F44+IF($K44="",0,L44)+G44)</f>
        <v/>
      </c>
      <c r="K44" s="29"/>
      <c r="L44" s="42" t="str">
        <f aca="false">IF($K44="","",IFERROR(VLOOKUP($K44,Pricing_Master!$B$4:$D$22,2,FALSE()),0))</f>
        <v/>
      </c>
    </row>
    <row r="45" customFormat="false" ht="15" hidden="false" customHeight="true" outlineLevel="0" collapsed="false">
      <c r="C45" s="38" t="str">
        <f aca="false">IF($B45="","",IFERROR(VLOOKUP($B45,案件別収益!$A$4:$C$60,2,FALSE()),""))</f>
        <v/>
      </c>
      <c r="D45" s="54" t="str">
        <f aca="false">IF($B45="","",IFERROR(VLOOKUP($B45,案件別収益!$A$4:$C$60,3,FALSE()),""))</f>
        <v/>
      </c>
      <c r="G45" s="42" t="str">
        <f aca="false">IF($F45="","",ROUND((F45+IF($K45="",0,L45))*料金マスタ!$B$29,0))</f>
        <v/>
      </c>
      <c r="H45" s="43" t="str">
        <f aca="false">IF($F45="","",F45+IF($K45="",0,L45)+G45)</f>
        <v/>
      </c>
      <c r="K45" s="29"/>
      <c r="L45" s="42" t="str">
        <f aca="false">IF($K45="","",IFERROR(VLOOKUP($K45,Pricing_Master!$B$4:$D$22,2,FALSE()),0))</f>
        <v/>
      </c>
    </row>
    <row r="46" customFormat="false" ht="15" hidden="false" customHeight="true" outlineLevel="0" collapsed="false">
      <c r="C46" s="38" t="str">
        <f aca="false">IF($B46="","",IFERROR(VLOOKUP($B46,案件別収益!$A$4:$C$60,2,FALSE()),""))</f>
        <v/>
      </c>
      <c r="D46" s="54" t="str">
        <f aca="false">IF($B46="","",IFERROR(VLOOKUP($B46,案件別収益!$A$4:$C$60,3,FALSE()),""))</f>
        <v/>
      </c>
      <c r="G46" s="42" t="str">
        <f aca="false">IF($F46="","",ROUND((F46+IF($K46="",0,L46))*料金マスタ!$B$29,0))</f>
        <v/>
      </c>
      <c r="H46" s="43" t="str">
        <f aca="false">IF($F46="","",F46+IF($K46="",0,L46)+G46)</f>
        <v/>
      </c>
      <c r="K46" s="29"/>
      <c r="L46" s="42" t="str">
        <f aca="false">IF($K46="","",IFERROR(VLOOKUP($K46,Pricing_Master!$B$4:$D$22,2,FALSE()),0))</f>
        <v/>
      </c>
    </row>
    <row r="47" customFormat="false" ht="15" hidden="false" customHeight="true" outlineLevel="0" collapsed="false">
      <c r="C47" s="38" t="str">
        <f aca="false">IF($B47="","",IFERROR(VLOOKUP($B47,案件別収益!$A$4:$C$60,2,FALSE()),""))</f>
        <v/>
      </c>
      <c r="D47" s="54" t="str">
        <f aca="false">IF($B47="","",IFERROR(VLOOKUP($B47,案件別収益!$A$4:$C$60,3,FALSE()),""))</f>
        <v/>
      </c>
      <c r="G47" s="42" t="str">
        <f aca="false">IF($F47="","",ROUND((F47+IF($K47="",0,L47))*料金マスタ!$B$29,0))</f>
        <v/>
      </c>
      <c r="H47" s="43" t="str">
        <f aca="false">IF($F47="","",F47+IF($K47="",0,L47)+G47)</f>
        <v/>
      </c>
      <c r="K47" s="29"/>
      <c r="L47" s="42" t="str">
        <f aca="false">IF($K47="","",IFERROR(VLOOKUP($K47,Pricing_Master!$B$4:$D$22,2,FALSE()),0))</f>
        <v/>
      </c>
    </row>
    <row r="48" customFormat="false" ht="15" hidden="false" customHeight="true" outlineLevel="0" collapsed="false">
      <c r="C48" s="38" t="str">
        <f aca="false">IF($B48="","",IFERROR(VLOOKUP($B48,案件別収益!$A$4:$C$60,2,FALSE()),""))</f>
        <v/>
      </c>
      <c r="D48" s="54" t="str">
        <f aca="false">IF($B48="","",IFERROR(VLOOKUP($B48,案件別収益!$A$4:$C$60,3,FALSE()),""))</f>
        <v/>
      </c>
      <c r="G48" s="42" t="str">
        <f aca="false">IF($F48="","",ROUND((F48+IF($K48="",0,L48))*料金マスタ!$B$29,0))</f>
        <v/>
      </c>
      <c r="H48" s="43" t="str">
        <f aca="false">IF($F48="","",F48+IF($K48="",0,L48)+G48)</f>
        <v/>
      </c>
      <c r="K48" s="29"/>
      <c r="L48" s="42" t="str">
        <f aca="false">IF($K48="","",IFERROR(VLOOKUP($K48,Pricing_Master!$B$4:$D$22,2,FALSE()),0))</f>
        <v/>
      </c>
    </row>
    <row r="49" customFormat="false" ht="15" hidden="false" customHeight="true" outlineLevel="0" collapsed="false">
      <c r="C49" s="38" t="str">
        <f aca="false">IF($B49="","",IFERROR(VLOOKUP($B49,案件別収益!$A$4:$C$60,2,FALSE()),""))</f>
        <v/>
      </c>
      <c r="D49" s="54" t="str">
        <f aca="false">IF($B49="","",IFERROR(VLOOKUP($B49,案件別収益!$A$4:$C$60,3,FALSE()),""))</f>
        <v/>
      </c>
      <c r="G49" s="42" t="str">
        <f aca="false">IF($F49="","",ROUND((F49+IF($K49="",0,L49))*料金マスタ!$B$29,0))</f>
        <v/>
      </c>
      <c r="H49" s="43" t="str">
        <f aca="false">IF($F49="","",F49+IF($K49="",0,L49)+G49)</f>
        <v/>
      </c>
      <c r="K49" s="29"/>
      <c r="L49" s="42" t="str">
        <f aca="false">IF($K49="","",IFERROR(VLOOKUP($K49,Pricing_Master!$B$4:$D$22,2,FALSE()),0))</f>
        <v/>
      </c>
    </row>
    <row r="50" customFormat="false" ht="15" hidden="false" customHeight="true" outlineLevel="0" collapsed="false">
      <c r="C50" s="38" t="str">
        <f aca="false">IF($B50="","",IFERROR(VLOOKUP($B50,案件別収益!$A$4:$C$60,2,FALSE()),""))</f>
        <v/>
      </c>
      <c r="D50" s="54" t="str">
        <f aca="false">IF($B50="","",IFERROR(VLOOKUP($B50,案件別収益!$A$4:$C$60,3,FALSE()),""))</f>
        <v/>
      </c>
      <c r="G50" s="42" t="str">
        <f aca="false">IF($F50="","",ROUND((F50+IF($K50="",0,L50))*料金マスタ!$B$29,0))</f>
        <v/>
      </c>
      <c r="H50" s="43" t="str">
        <f aca="false">IF($F50="","",F50+IF($K50="",0,L50)+G50)</f>
        <v/>
      </c>
      <c r="K50" s="29"/>
      <c r="L50" s="42" t="str">
        <f aca="false">IF($K50="","",IFERROR(VLOOKUP($K50,Pricing_Master!$B$4:$D$22,2,FALSE()),0))</f>
        <v/>
      </c>
    </row>
    <row r="51" customFormat="false" ht="15" hidden="false" customHeight="true" outlineLevel="0" collapsed="false">
      <c r="C51" s="38" t="str">
        <f aca="false">IF($B51="","",IFERROR(VLOOKUP($B51,案件別収益!$A$4:$C$60,2,FALSE()),""))</f>
        <v/>
      </c>
      <c r="D51" s="54" t="str">
        <f aca="false">IF($B51="","",IFERROR(VLOOKUP($B51,案件別収益!$A$4:$C$60,3,FALSE()),""))</f>
        <v/>
      </c>
      <c r="G51" s="42" t="str">
        <f aca="false">IF($F51="","",ROUND((F51+IF($K51="",0,L51))*料金マスタ!$B$29,0))</f>
        <v/>
      </c>
      <c r="H51" s="43" t="str">
        <f aca="false">IF($F51="","",F51+IF($K51="",0,L51)+G51)</f>
        <v/>
      </c>
      <c r="K51" s="29"/>
      <c r="L51" s="42" t="str">
        <f aca="false">IF($K51="","",IFERROR(VLOOKUP($K51,Pricing_Master!$B$4:$D$22,2,FALSE()),0))</f>
        <v/>
      </c>
    </row>
    <row r="52" customFormat="false" ht="15" hidden="false" customHeight="true" outlineLevel="0" collapsed="false">
      <c r="C52" s="38" t="str">
        <f aca="false">IF($B52="","",IFERROR(VLOOKUP($B52,案件別収益!$A$4:$C$60,2,FALSE()),""))</f>
        <v/>
      </c>
      <c r="D52" s="54" t="str">
        <f aca="false">IF($B52="","",IFERROR(VLOOKUP($B52,案件別収益!$A$4:$C$60,3,FALSE()),""))</f>
        <v/>
      </c>
      <c r="G52" s="42" t="str">
        <f aca="false">IF($F52="","",ROUND((F52+IF($K52="",0,L52))*料金マスタ!$B$29,0))</f>
        <v/>
      </c>
      <c r="H52" s="43" t="str">
        <f aca="false">IF($F52="","",F52+IF($K52="",0,L52)+G52)</f>
        <v/>
      </c>
      <c r="K52" s="29"/>
      <c r="L52" s="42" t="str">
        <f aca="false">IF($K52="","",IFERROR(VLOOKUP($K52,Pricing_Master!$B$4:$D$22,2,FALSE()),0))</f>
        <v/>
      </c>
    </row>
    <row r="53" customFormat="false" ht="15" hidden="false" customHeight="true" outlineLevel="0" collapsed="false">
      <c r="C53" s="38" t="str">
        <f aca="false">IF($B53="","",IFERROR(VLOOKUP($B53,案件別収益!$A$4:$C$60,2,FALSE()),""))</f>
        <v/>
      </c>
      <c r="D53" s="54" t="str">
        <f aca="false">IF($B53="","",IFERROR(VLOOKUP($B53,案件別収益!$A$4:$C$60,3,FALSE()),""))</f>
        <v/>
      </c>
      <c r="G53" s="42" t="str">
        <f aca="false">IF($F53="","",ROUND((F53+IF($K53="",0,L53))*料金マスタ!$B$29,0))</f>
        <v/>
      </c>
      <c r="H53" s="43" t="str">
        <f aca="false">IF($F53="","",F53+IF($K53="",0,L53)+G53)</f>
        <v/>
      </c>
      <c r="K53" s="29"/>
      <c r="L53" s="42" t="str">
        <f aca="false">IF($K53="","",IFERROR(VLOOKUP($K53,Pricing_Master!$B$4:$D$22,2,FALSE()),0))</f>
        <v/>
      </c>
    </row>
    <row r="54" customFormat="false" ht="15" hidden="false" customHeight="true" outlineLevel="0" collapsed="false">
      <c r="C54" s="38" t="str">
        <f aca="false">IF($B54="","",IFERROR(VLOOKUP($B54,案件別収益!$A$4:$C$60,2,FALSE()),""))</f>
        <v/>
      </c>
      <c r="D54" s="54" t="str">
        <f aca="false">IF($B54="","",IFERROR(VLOOKUP($B54,案件別収益!$A$4:$C$60,3,FALSE()),""))</f>
        <v/>
      </c>
      <c r="G54" s="42" t="str">
        <f aca="false">IF($F54="","",ROUND((F54+IF($K54="",0,L54))*料金マスタ!$B$29,0))</f>
        <v/>
      </c>
      <c r="H54" s="43" t="str">
        <f aca="false">IF($F54="","",F54+IF($K54="",0,L54)+G54)</f>
        <v/>
      </c>
      <c r="K54" s="29"/>
      <c r="L54" s="42" t="str">
        <f aca="false">IF($K54="","",IFERROR(VLOOKUP($K54,Pricing_Master!$B$4:$D$22,2,FALSE()),0))</f>
        <v/>
      </c>
    </row>
    <row r="55" customFormat="false" ht="15" hidden="false" customHeight="true" outlineLevel="0" collapsed="false">
      <c r="C55" s="38" t="str">
        <f aca="false">IF($B55="","",IFERROR(VLOOKUP($B55,案件別収益!$A$4:$C$60,2,FALSE()),""))</f>
        <v/>
      </c>
      <c r="D55" s="54" t="str">
        <f aca="false">IF($B55="","",IFERROR(VLOOKUP($B55,案件別収益!$A$4:$C$60,3,FALSE()),""))</f>
        <v/>
      </c>
      <c r="G55" s="42" t="str">
        <f aca="false">IF($F55="","",ROUND((F55+IF($K55="",0,L55))*料金マスタ!$B$29,0))</f>
        <v/>
      </c>
      <c r="H55" s="43" t="str">
        <f aca="false">IF($F55="","",F55+IF($K55="",0,L55)+G55)</f>
        <v/>
      </c>
      <c r="K55" s="29"/>
      <c r="L55" s="42" t="str">
        <f aca="false">IF($K55="","",IFERROR(VLOOKUP($K55,Pricing_Master!$B$4:$D$22,2,FALSE()),0))</f>
        <v/>
      </c>
    </row>
    <row r="56" customFormat="false" ht="15" hidden="false" customHeight="true" outlineLevel="0" collapsed="false">
      <c r="C56" s="38" t="str">
        <f aca="false">IF($B56="","",IFERROR(VLOOKUP($B56,案件別収益!$A$4:$C$60,2,FALSE()),""))</f>
        <v/>
      </c>
      <c r="D56" s="54" t="str">
        <f aca="false">IF($B56="","",IFERROR(VLOOKUP($B56,案件別収益!$A$4:$C$60,3,FALSE()),""))</f>
        <v/>
      </c>
      <c r="G56" s="42" t="str">
        <f aca="false">IF($F56="","",ROUND((F56+IF($K56="",0,L56))*料金マスタ!$B$29,0))</f>
        <v/>
      </c>
      <c r="H56" s="43" t="str">
        <f aca="false">IF($F56="","",F56+IF($K56="",0,L56)+G56)</f>
        <v/>
      </c>
      <c r="K56" s="29"/>
      <c r="L56" s="42" t="str">
        <f aca="false">IF($K56="","",IFERROR(VLOOKUP($K56,Pricing_Master!$B$4:$D$22,2,FALSE()),0))</f>
        <v/>
      </c>
    </row>
    <row r="57" customFormat="false" ht="15" hidden="false" customHeight="true" outlineLevel="0" collapsed="false">
      <c r="C57" s="38" t="str">
        <f aca="false">IF($B57="","",IFERROR(VLOOKUP($B57,案件別収益!$A$4:$C$60,2,FALSE()),""))</f>
        <v/>
      </c>
      <c r="D57" s="54" t="str">
        <f aca="false">IF($B57="","",IFERROR(VLOOKUP($B57,案件別収益!$A$4:$C$60,3,FALSE()),""))</f>
        <v/>
      </c>
      <c r="G57" s="42" t="str">
        <f aca="false">IF($F57="","",ROUND((F57+IF($K57="",0,L57))*料金マスタ!$B$29,0))</f>
        <v/>
      </c>
      <c r="H57" s="43" t="str">
        <f aca="false">IF($F57="","",F57+IF($K57="",0,L57)+G57)</f>
        <v/>
      </c>
      <c r="K57" s="29"/>
      <c r="L57" s="42" t="str">
        <f aca="false">IF($K57="","",IFERROR(VLOOKUP($K57,Pricing_Master!$B$4:$D$22,2,FALSE()),0))</f>
        <v/>
      </c>
    </row>
    <row r="58" customFormat="false" ht="15" hidden="false" customHeight="true" outlineLevel="0" collapsed="false">
      <c r="C58" s="38" t="str">
        <f aca="false">IF($B58="","",IFERROR(VLOOKUP($B58,案件別収益!$A$4:$C$60,2,FALSE()),""))</f>
        <v/>
      </c>
      <c r="D58" s="54" t="str">
        <f aca="false">IF($B58="","",IFERROR(VLOOKUP($B58,案件別収益!$A$4:$C$60,3,FALSE()),""))</f>
        <v/>
      </c>
      <c r="G58" s="42" t="str">
        <f aca="false">IF($F58="","",ROUND((F58+IF($K58="",0,L58))*料金マスタ!$B$29,0))</f>
        <v/>
      </c>
      <c r="H58" s="43" t="str">
        <f aca="false">IF($F58="","",F58+IF($K58="",0,L58)+G58)</f>
        <v/>
      </c>
      <c r="K58" s="29"/>
      <c r="L58" s="42" t="str">
        <f aca="false">IF($K58="","",IFERROR(VLOOKUP($K58,Pricing_Master!$B$4:$D$22,2,FALSE()),0))</f>
        <v/>
      </c>
    </row>
    <row r="59" customFormat="false" ht="15" hidden="false" customHeight="true" outlineLevel="0" collapsed="false">
      <c r="C59" s="38" t="str">
        <f aca="false">IF($B59="","",IFERROR(VLOOKUP($B59,案件別収益!$A$4:$C$60,2,FALSE()),""))</f>
        <v/>
      </c>
      <c r="D59" s="54" t="str">
        <f aca="false">IF($B59="","",IFERROR(VLOOKUP($B59,案件別収益!$A$4:$C$60,3,FALSE()),""))</f>
        <v/>
      </c>
      <c r="G59" s="42" t="str">
        <f aca="false">IF($F59="","",ROUND((F59+IF($K59="",0,L59))*料金マスタ!$B$29,0))</f>
        <v/>
      </c>
      <c r="H59" s="43" t="str">
        <f aca="false">IF($F59="","",F59+IF($K59="",0,L59)+G59)</f>
        <v/>
      </c>
      <c r="K59" s="29"/>
      <c r="L59" s="42" t="str">
        <f aca="false">IF($K59="","",IFERROR(VLOOKUP($K59,Pricing_Master!$B$4:$D$22,2,FALSE()),0))</f>
        <v/>
      </c>
    </row>
    <row r="60" customFormat="false" ht="15" hidden="false" customHeight="true" outlineLevel="0" collapsed="false">
      <c r="C60" s="38" t="str">
        <f aca="false">IF($B60="","",IFERROR(VLOOKUP($B60,案件別収益!$A$4:$C$60,2,FALSE()),""))</f>
        <v/>
      </c>
      <c r="D60" s="54" t="str">
        <f aca="false">IF($B60="","",IFERROR(VLOOKUP($B60,案件別収益!$A$4:$C$60,3,FALSE()),""))</f>
        <v/>
      </c>
      <c r="G60" s="42" t="str">
        <f aca="false">IF($F60="","",ROUND((F60+IF($K60="",0,L60))*料金マスタ!$B$29,0))</f>
        <v/>
      </c>
      <c r="H60" s="43" t="str">
        <f aca="false">IF($F60="","",F60+IF($K60="",0,L60)+G60)</f>
        <v/>
      </c>
      <c r="K60" s="29"/>
      <c r="L60" s="42" t="str">
        <f aca="false">IF($K60="","",IFERROR(VLOOKUP($K60,Pricing_Master!$B$4:$D$22,2,FALSE()),0))</f>
        <v/>
      </c>
    </row>
  </sheetData>
  <dataValidations count="3">
    <dataValidation allowBlank="true" errorStyle="stop" operator="between" showDropDown="false" showErrorMessage="false" showInputMessage="false" sqref="J4:J60" type="list">
      <formula1>料金マスタ!$J$4:$J$6</formula1>
      <formula2>0</formula2>
    </dataValidation>
    <dataValidation allowBlank="true" errorStyle="stop" operator="between" showDropDown="false" showErrorMessage="false" showInputMessage="false" sqref="B4:B60" type="list">
      <formula1>案件別収益!$A$4:$A$60</formula1>
      <formula2>0</formula2>
    </dataValidation>
    <dataValidation allowBlank="true" errorStyle="stop" operator="between" showDropDown="false" showErrorMessage="false" showInputMessage="false" sqref="K4:K60" type="list">
      <formula1>Pricing_Master!$B$11:$B$22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8" min="7" style="1" width="12"/>
  </cols>
  <sheetData>
    <row r="1" customFormat="false" ht="17.25" hidden="false" customHeight="true" outlineLevel="0" collapsed="false">
      <c r="A1" s="21" t="s">
        <v>373</v>
      </c>
    </row>
    <row r="2" customFormat="false" ht="15" hidden="false" customHeight="true" outlineLevel="0" collapsed="false">
      <c r="A2" s="22" t="s">
        <v>374</v>
      </c>
    </row>
    <row r="3" customFormat="false" ht="16.5" hidden="false" customHeight="true" outlineLevel="0" collapsed="false">
      <c r="A3" s="23" t="s">
        <v>361</v>
      </c>
      <c r="B3" s="23" t="s">
        <v>243</v>
      </c>
      <c r="C3" s="23" t="s">
        <v>375</v>
      </c>
      <c r="D3" s="23" t="s">
        <v>365</v>
      </c>
      <c r="E3" s="23" t="s">
        <v>376</v>
      </c>
      <c r="F3" s="23" t="s">
        <v>377</v>
      </c>
      <c r="G3" s="23" t="s">
        <v>378</v>
      </c>
      <c r="H3" s="23" t="s">
        <v>379</v>
      </c>
    </row>
    <row r="4" customFormat="false" ht="16.5" hidden="false" customHeight="true" outlineLevel="0" collapsed="false">
      <c r="A4" s="41" t="s">
        <v>368</v>
      </c>
      <c r="B4" s="54" t="str">
        <f aca="false">IF($A4="","",IFERROR(VLOOKUP($A4,請求管理!$A$4:$J$60,4,FALSE()),""))</f>
        <v>□□会館</v>
      </c>
      <c r="C4" s="49" t="n">
        <f aca="false">IF($A4="","",IFERROR(VLOOKUP($A4,請求管理!$A$4:$J$60,8,FALSE()),""))</f>
        <v>165000</v>
      </c>
      <c r="D4" s="71" t="n">
        <f aca="false">IF($A4="","",IFERROR(VLOOKUP($A4,請求管理!$A$4:$J$60,9,FALSE()),""))</f>
        <v>46234</v>
      </c>
      <c r="E4" s="62" t="n">
        <v>46223</v>
      </c>
      <c r="F4" s="26" t="n">
        <v>150000</v>
      </c>
      <c r="G4" s="46" t="n">
        <f aca="false">IF($A4="","",C4-F4)</f>
        <v>15000</v>
      </c>
      <c r="H4" s="72" t="str">
        <f aca="true">IF($A4="","",IF($E4&lt;&gt;"","入金済",IF($D4&lt;TODAY(),"延滞","未入金")))</f>
        <v>入金済</v>
      </c>
    </row>
    <row r="5" customFormat="false" ht="16.5" hidden="false" customHeight="true" outlineLevel="0" collapsed="false">
      <c r="A5" s="41" t="s">
        <v>369</v>
      </c>
      <c r="B5" s="54" t="str">
        <f aca="false">IF($A5="","",IFERROR(VLOOKUP($A5,請求管理!$A$4:$J$60,4,FALSE()),""))</f>
        <v>□□会館</v>
      </c>
      <c r="C5" s="49" t="n">
        <f aca="false">IF($A5="","",IFERROR(VLOOKUP($A5,請求管理!$A$4:$J$60,8,FALSE()),""))</f>
        <v>176000</v>
      </c>
      <c r="D5" s="71" t="n">
        <f aca="false">IF($A5="","",IFERROR(VLOOKUP($A5,請求管理!$A$4:$J$60,9,FALSE()),""))</f>
        <v>46203</v>
      </c>
      <c r="E5" s="62" t="n">
        <v>46198</v>
      </c>
      <c r="F5" s="26" t="n">
        <v>160000</v>
      </c>
      <c r="G5" s="46" t="n">
        <f aca="false">IF($A5="","",C5-F5)</f>
        <v>16000</v>
      </c>
      <c r="H5" s="72" t="str">
        <f aca="true">IF($A5="","",IF($E5&lt;&gt;"","入金済",IF($D5&lt;TODAY(),"延滞","未入金")))</f>
        <v>入金済</v>
      </c>
    </row>
    <row r="6" customFormat="false" ht="16.5" hidden="false" customHeight="true" outlineLevel="0" collapsed="false">
      <c r="A6" s="41" t="s">
        <v>370</v>
      </c>
      <c r="B6" s="54" t="str">
        <f aca="false">IF($A6="","",IFERROR(VLOOKUP($A6,請求管理!$A$4:$J$60,4,FALSE()),""))</f>
        <v>パーラー〇〇 本店</v>
      </c>
      <c r="C6" s="49" t="n">
        <f aca="false">IF($A6="","",IFERROR(VLOOKUP($A6,請求管理!$A$4:$J$60,8,FALSE()),""))</f>
        <v>110000</v>
      </c>
      <c r="D6" s="71" t="n">
        <f aca="false">IF($A6="","",IFERROR(VLOOKUP($A6,請求管理!$A$4:$J$60,9,FALSE()),""))</f>
        <v>46203</v>
      </c>
      <c r="E6" s="62"/>
      <c r="F6" s="26" t="n">
        <v>0</v>
      </c>
      <c r="G6" s="46" t="n">
        <f aca="false">IF($A6="","",C6-F6)</f>
        <v>110000</v>
      </c>
      <c r="H6" s="72" t="str">
        <f aca="true">IF($A6="","",IF($E6&lt;&gt;"","入金済",IF($D6&lt;TODAY(),"延滞","未入金")))</f>
        <v>未入金</v>
      </c>
    </row>
    <row r="7" customFormat="false" ht="15" hidden="false" customHeight="true" outlineLevel="0" collapsed="false">
      <c r="B7" s="54" t="str">
        <f aca="false">IF($A7="","",IFERROR(VLOOKUP($A7,請求管理!$A$4:$J$60,4,FALSE()),""))</f>
        <v/>
      </c>
      <c r="C7" s="49" t="str">
        <f aca="false">IF($A7="","",IFERROR(VLOOKUP($A7,請求管理!$A$4:$J$60,8,FALSE()),""))</f>
        <v/>
      </c>
      <c r="D7" s="71" t="str">
        <f aca="false">IF($A7="","",IFERROR(VLOOKUP($A7,請求管理!$A$4:$J$60,9,FALSE()),""))</f>
        <v/>
      </c>
      <c r="G7" s="46" t="str">
        <f aca="false">IF($A7="","",C7-F7)</f>
        <v/>
      </c>
      <c r="H7" s="72" t="str">
        <f aca="true">IF($A7="","",IF($E7&lt;&gt;"","入金済",IF($D7&lt;TODAY(),"延滞","未入金")))</f>
        <v/>
      </c>
    </row>
    <row r="8" customFormat="false" ht="15" hidden="false" customHeight="true" outlineLevel="0" collapsed="false">
      <c r="B8" s="54" t="str">
        <f aca="false">IF($A8="","",IFERROR(VLOOKUP($A8,請求管理!$A$4:$J$60,4,FALSE()),""))</f>
        <v/>
      </c>
      <c r="C8" s="49" t="str">
        <f aca="false">IF($A8="","",IFERROR(VLOOKUP($A8,請求管理!$A$4:$J$60,8,FALSE()),""))</f>
        <v/>
      </c>
      <c r="D8" s="71" t="str">
        <f aca="false">IF($A8="","",IFERROR(VLOOKUP($A8,請求管理!$A$4:$J$60,9,FALSE()),""))</f>
        <v/>
      </c>
      <c r="G8" s="46" t="str">
        <f aca="false">IF($A8="","",C8-F8)</f>
        <v/>
      </c>
      <c r="H8" s="72" t="str">
        <f aca="true">IF($A8="","",IF($E8&lt;&gt;"","入金済",IF($D8&lt;TODAY(),"延滞","未入金")))</f>
        <v/>
      </c>
    </row>
    <row r="9" customFormat="false" ht="15" hidden="false" customHeight="true" outlineLevel="0" collapsed="false">
      <c r="B9" s="54" t="str">
        <f aca="false">IF($A9="","",IFERROR(VLOOKUP($A9,請求管理!$A$4:$J$60,4,FALSE()),""))</f>
        <v/>
      </c>
      <c r="C9" s="49" t="str">
        <f aca="false">IF($A9="","",IFERROR(VLOOKUP($A9,請求管理!$A$4:$J$60,8,FALSE()),""))</f>
        <v/>
      </c>
      <c r="D9" s="71" t="str">
        <f aca="false">IF($A9="","",IFERROR(VLOOKUP($A9,請求管理!$A$4:$J$60,9,FALSE()),""))</f>
        <v/>
      </c>
      <c r="G9" s="46" t="str">
        <f aca="false">IF($A9="","",C9-F9)</f>
        <v/>
      </c>
      <c r="H9" s="72" t="str">
        <f aca="true">IF($A9="","",IF($E9&lt;&gt;"","入金済",IF($D9&lt;TODAY(),"延滞","未入金")))</f>
        <v/>
      </c>
    </row>
    <row r="10" customFormat="false" ht="15" hidden="false" customHeight="true" outlineLevel="0" collapsed="false">
      <c r="B10" s="54" t="str">
        <f aca="false">IF($A10="","",IFERROR(VLOOKUP($A10,請求管理!$A$4:$J$60,4,FALSE()),""))</f>
        <v/>
      </c>
      <c r="C10" s="49" t="str">
        <f aca="false">IF($A10="","",IFERROR(VLOOKUP($A10,請求管理!$A$4:$J$60,8,FALSE()),""))</f>
        <v/>
      </c>
      <c r="D10" s="71" t="str">
        <f aca="false">IF($A10="","",IFERROR(VLOOKUP($A10,請求管理!$A$4:$J$60,9,FALSE()),""))</f>
        <v/>
      </c>
      <c r="G10" s="46" t="str">
        <f aca="false">IF($A10="","",C10-F10)</f>
        <v/>
      </c>
      <c r="H10" s="72" t="str">
        <f aca="true">IF($A10="","",IF($E10&lt;&gt;"","入金済",IF($D10&lt;TODAY(),"延滞","未入金")))</f>
        <v/>
      </c>
    </row>
    <row r="11" customFormat="false" ht="15" hidden="false" customHeight="true" outlineLevel="0" collapsed="false">
      <c r="B11" s="54" t="str">
        <f aca="false">IF($A11="","",IFERROR(VLOOKUP($A11,請求管理!$A$4:$J$60,4,FALSE()),""))</f>
        <v/>
      </c>
      <c r="C11" s="49" t="str">
        <f aca="false">IF($A11="","",IFERROR(VLOOKUP($A11,請求管理!$A$4:$J$60,8,FALSE()),""))</f>
        <v/>
      </c>
      <c r="D11" s="71" t="str">
        <f aca="false">IF($A11="","",IFERROR(VLOOKUP($A11,請求管理!$A$4:$J$60,9,FALSE()),""))</f>
        <v/>
      </c>
      <c r="G11" s="46" t="str">
        <f aca="false">IF($A11="","",C11-F11)</f>
        <v/>
      </c>
      <c r="H11" s="72" t="str">
        <f aca="true">IF($A11="","",IF($E11&lt;&gt;"","入金済",IF($D11&lt;TODAY(),"延滞","未入金")))</f>
        <v/>
      </c>
    </row>
    <row r="12" customFormat="false" ht="15" hidden="false" customHeight="true" outlineLevel="0" collapsed="false">
      <c r="B12" s="54" t="str">
        <f aca="false">IF($A12="","",IFERROR(VLOOKUP($A12,請求管理!$A$4:$J$60,4,FALSE()),""))</f>
        <v/>
      </c>
      <c r="C12" s="49" t="str">
        <f aca="false">IF($A12="","",IFERROR(VLOOKUP($A12,請求管理!$A$4:$J$60,8,FALSE()),""))</f>
        <v/>
      </c>
      <c r="D12" s="71" t="str">
        <f aca="false">IF($A12="","",IFERROR(VLOOKUP($A12,請求管理!$A$4:$J$60,9,FALSE()),""))</f>
        <v/>
      </c>
      <c r="G12" s="46" t="str">
        <f aca="false">IF($A12="","",C12-F12)</f>
        <v/>
      </c>
      <c r="H12" s="72" t="str">
        <f aca="true">IF($A12="","",IF($E12&lt;&gt;"","入金済",IF($D12&lt;TODAY(),"延滞","未入金")))</f>
        <v/>
      </c>
    </row>
    <row r="13" customFormat="false" ht="15" hidden="false" customHeight="true" outlineLevel="0" collapsed="false">
      <c r="B13" s="54" t="str">
        <f aca="false">IF($A13="","",IFERROR(VLOOKUP($A13,請求管理!$A$4:$J$60,4,FALSE()),""))</f>
        <v/>
      </c>
      <c r="C13" s="49" t="str">
        <f aca="false">IF($A13="","",IFERROR(VLOOKUP($A13,請求管理!$A$4:$J$60,8,FALSE()),""))</f>
        <v/>
      </c>
      <c r="D13" s="71" t="str">
        <f aca="false">IF($A13="","",IFERROR(VLOOKUP($A13,請求管理!$A$4:$J$60,9,FALSE()),""))</f>
        <v/>
      </c>
      <c r="G13" s="46" t="str">
        <f aca="false">IF($A13="","",C13-F13)</f>
        <v/>
      </c>
      <c r="H13" s="72" t="str">
        <f aca="true">IF($A13="","",IF($E13&lt;&gt;"","入金済",IF($D13&lt;TODAY(),"延滞","未入金")))</f>
        <v/>
      </c>
    </row>
    <row r="14" customFormat="false" ht="15" hidden="false" customHeight="true" outlineLevel="0" collapsed="false">
      <c r="B14" s="54" t="str">
        <f aca="false">IF($A14="","",IFERROR(VLOOKUP($A14,請求管理!$A$4:$J$60,4,FALSE()),""))</f>
        <v/>
      </c>
      <c r="C14" s="49" t="str">
        <f aca="false">IF($A14="","",IFERROR(VLOOKUP($A14,請求管理!$A$4:$J$60,8,FALSE()),""))</f>
        <v/>
      </c>
      <c r="D14" s="71" t="str">
        <f aca="false">IF($A14="","",IFERROR(VLOOKUP($A14,請求管理!$A$4:$J$60,9,FALSE()),""))</f>
        <v/>
      </c>
      <c r="G14" s="46" t="str">
        <f aca="false">IF($A14="","",C14-F14)</f>
        <v/>
      </c>
      <c r="H14" s="72" t="str">
        <f aca="true">IF($A14="","",IF($E14&lt;&gt;"","入金済",IF($D14&lt;TODAY(),"延滞","未入金")))</f>
        <v/>
      </c>
    </row>
    <row r="15" customFormat="false" ht="15" hidden="false" customHeight="true" outlineLevel="0" collapsed="false">
      <c r="B15" s="54" t="str">
        <f aca="false">IF($A15="","",IFERROR(VLOOKUP($A15,請求管理!$A$4:$J$60,4,FALSE()),""))</f>
        <v/>
      </c>
      <c r="C15" s="49" t="str">
        <f aca="false">IF($A15="","",IFERROR(VLOOKUP($A15,請求管理!$A$4:$J$60,8,FALSE()),""))</f>
        <v/>
      </c>
      <c r="D15" s="71" t="str">
        <f aca="false">IF($A15="","",IFERROR(VLOOKUP($A15,請求管理!$A$4:$J$60,9,FALSE()),""))</f>
        <v/>
      </c>
      <c r="G15" s="46" t="str">
        <f aca="false">IF($A15="","",C15-F15)</f>
        <v/>
      </c>
      <c r="H15" s="72" t="str">
        <f aca="true">IF($A15="","",IF($E15&lt;&gt;"","入金済",IF($D15&lt;TODAY(),"延滞","未入金")))</f>
        <v/>
      </c>
    </row>
    <row r="16" customFormat="false" ht="15" hidden="false" customHeight="true" outlineLevel="0" collapsed="false">
      <c r="B16" s="54" t="str">
        <f aca="false">IF($A16="","",IFERROR(VLOOKUP($A16,請求管理!$A$4:$J$60,4,FALSE()),""))</f>
        <v/>
      </c>
      <c r="C16" s="49" t="str">
        <f aca="false">IF($A16="","",IFERROR(VLOOKUP($A16,請求管理!$A$4:$J$60,8,FALSE()),""))</f>
        <v/>
      </c>
      <c r="D16" s="71" t="str">
        <f aca="false">IF($A16="","",IFERROR(VLOOKUP($A16,請求管理!$A$4:$J$60,9,FALSE()),""))</f>
        <v/>
      </c>
      <c r="G16" s="46" t="str">
        <f aca="false">IF($A16="","",C16-F16)</f>
        <v/>
      </c>
      <c r="H16" s="72" t="str">
        <f aca="true">IF($A16="","",IF($E16&lt;&gt;"","入金済",IF($D16&lt;TODAY(),"延滞","未入金")))</f>
        <v/>
      </c>
    </row>
    <row r="17" customFormat="false" ht="15" hidden="false" customHeight="true" outlineLevel="0" collapsed="false">
      <c r="B17" s="54" t="str">
        <f aca="false">IF($A17="","",IFERROR(VLOOKUP($A17,請求管理!$A$4:$J$60,4,FALSE()),""))</f>
        <v/>
      </c>
      <c r="C17" s="49" t="str">
        <f aca="false">IF($A17="","",IFERROR(VLOOKUP($A17,請求管理!$A$4:$J$60,8,FALSE()),""))</f>
        <v/>
      </c>
      <c r="D17" s="71" t="str">
        <f aca="false">IF($A17="","",IFERROR(VLOOKUP($A17,請求管理!$A$4:$J$60,9,FALSE()),""))</f>
        <v/>
      </c>
      <c r="G17" s="46" t="str">
        <f aca="false">IF($A17="","",C17-F17)</f>
        <v/>
      </c>
      <c r="H17" s="72" t="str">
        <f aca="true">IF($A17="","",IF($E17&lt;&gt;"","入金済",IF($D17&lt;TODAY(),"延滞","未入金")))</f>
        <v/>
      </c>
    </row>
    <row r="18" customFormat="false" ht="15" hidden="false" customHeight="true" outlineLevel="0" collapsed="false">
      <c r="B18" s="54" t="str">
        <f aca="false">IF($A18="","",IFERROR(VLOOKUP($A18,請求管理!$A$4:$J$60,4,FALSE()),""))</f>
        <v/>
      </c>
      <c r="C18" s="49" t="str">
        <f aca="false">IF($A18="","",IFERROR(VLOOKUP($A18,請求管理!$A$4:$J$60,8,FALSE()),""))</f>
        <v/>
      </c>
      <c r="D18" s="71" t="str">
        <f aca="false">IF($A18="","",IFERROR(VLOOKUP($A18,請求管理!$A$4:$J$60,9,FALSE()),""))</f>
        <v/>
      </c>
      <c r="G18" s="46" t="str">
        <f aca="false">IF($A18="","",C18-F18)</f>
        <v/>
      </c>
      <c r="H18" s="72" t="str">
        <f aca="true">IF($A18="","",IF($E18&lt;&gt;"","入金済",IF($D18&lt;TODAY(),"延滞","未入金")))</f>
        <v/>
      </c>
    </row>
    <row r="19" customFormat="false" ht="15" hidden="false" customHeight="true" outlineLevel="0" collapsed="false">
      <c r="B19" s="54" t="str">
        <f aca="false">IF($A19="","",IFERROR(VLOOKUP($A19,請求管理!$A$4:$J$60,4,FALSE()),""))</f>
        <v/>
      </c>
      <c r="C19" s="49" t="str">
        <f aca="false">IF($A19="","",IFERROR(VLOOKUP($A19,請求管理!$A$4:$J$60,8,FALSE()),""))</f>
        <v/>
      </c>
      <c r="D19" s="71" t="str">
        <f aca="false">IF($A19="","",IFERROR(VLOOKUP($A19,請求管理!$A$4:$J$60,9,FALSE()),""))</f>
        <v/>
      </c>
      <c r="G19" s="46" t="str">
        <f aca="false">IF($A19="","",C19-F19)</f>
        <v/>
      </c>
      <c r="H19" s="72" t="str">
        <f aca="true">IF($A19="","",IF($E19&lt;&gt;"","入金済",IF($D19&lt;TODAY(),"延滞","未入金")))</f>
        <v/>
      </c>
    </row>
    <row r="20" customFormat="false" ht="15" hidden="false" customHeight="true" outlineLevel="0" collapsed="false">
      <c r="B20" s="54" t="str">
        <f aca="false">IF($A20="","",IFERROR(VLOOKUP($A20,請求管理!$A$4:$J$60,4,FALSE()),""))</f>
        <v/>
      </c>
      <c r="C20" s="49" t="str">
        <f aca="false">IF($A20="","",IFERROR(VLOOKUP($A20,請求管理!$A$4:$J$60,8,FALSE()),""))</f>
        <v/>
      </c>
      <c r="D20" s="71" t="str">
        <f aca="false">IF($A20="","",IFERROR(VLOOKUP($A20,請求管理!$A$4:$J$60,9,FALSE()),""))</f>
        <v/>
      </c>
      <c r="G20" s="46" t="str">
        <f aca="false">IF($A20="","",C20-F20)</f>
        <v/>
      </c>
      <c r="H20" s="72" t="str">
        <f aca="true">IF($A20="","",IF($E20&lt;&gt;"","入金済",IF($D20&lt;TODAY(),"延滞","未入金")))</f>
        <v/>
      </c>
    </row>
    <row r="21" customFormat="false" ht="15" hidden="false" customHeight="true" outlineLevel="0" collapsed="false">
      <c r="B21" s="54" t="str">
        <f aca="false">IF($A21="","",IFERROR(VLOOKUP($A21,請求管理!$A$4:$J$60,4,FALSE()),""))</f>
        <v/>
      </c>
      <c r="C21" s="49" t="str">
        <f aca="false">IF($A21="","",IFERROR(VLOOKUP($A21,請求管理!$A$4:$J$60,8,FALSE()),""))</f>
        <v/>
      </c>
      <c r="D21" s="71" t="str">
        <f aca="false">IF($A21="","",IFERROR(VLOOKUP($A21,請求管理!$A$4:$J$60,9,FALSE()),""))</f>
        <v/>
      </c>
      <c r="G21" s="46" t="str">
        <f aca="false">IF($A21="","",C21-F21)</f>
        <v/>
      </c>
      <c r="H21" s="72" t="str">
        <f aca="true">IF($A21="","",IF($E21&lt;&gt;"","入金済",IF($D21&lt;TODAY(),"延滞","未入金")))</f>
        <v/>
      </c>
    </row>
    <row r="22" customFormat="false" ht="15" hidden="false" customHeight="true" outlineLevel="0" collapsed="false">
      <c r="B22" s="54" t="str">
        <f aca="false">IF($A22="","",IFERROR(VLOOKUP($A22,請求管理!$A$4:$J$60,4,FALSE()),""))</f>
        <v/>
      </c>
      <c r="C22" s="49" t="str">
        <f aca="false">IF($A22="","",IFERROR(VLOOKUP($A22,請求管理!$A$4:$J$60,8,FALSE()),""))</f>
        <v/>
      </c>
      <c r="D22" s="71" t="str">
        <f aca="false">IF($A22="","",IFERROR(VLOOKUP($A22,請求管理!$A$4:$J$60,9,FALSE()),""))</f>
        <v/>
      </c>
      <c r="G22" s="46" t="str">
        <f aca="false">IF($A22="","",C22-F22)</f>
        <v/>
      </c>
      <c r="H22" s="72" t="str">
        <f aca="true">IF($A22="","",IF($E22&lt;&gt;"","入金済",IF($D22&lt;TODAY(),"延滞","未入金")))</f>
        <v/>
      </c>
    </row>
    <row r="23" customFormat="false" ht="15" hidden="false" customHeight="true" outlineLevel="0" collapsed="false">
      <c r="B23" s="54" t="str">
        <f aca="false">IF($A23="","",IFERROR(VLOOKUP($A23,請求管理!$A$4:$J$60,4,FALSE()),""))</f>
        <v/>
      </c>
      <c r="C23" s="49" t="str">
        <f aca="false">IF($A23="","",IFERROR(VLOOKUP($A23,請求管理!$A$4:$J$60,8,FALSE()),""))</f>
        <v/>
      </c>
      <c r="D23" s="71" t="str">
        <f aca="false">IF($A23="","",IFERROR(VLOOKUP($A23,請求管理!$A$4:$J$60,9,FALSE()),""))</f>
        <v/>
      </c>
      <c r="G23" s="46" t="str">
        <f aca="false">IF($A23="","",C23-F23)</f>
        <v/>
      </c>
      <c r="H23" s="72" t="str">
        <f aca="true">IF($A23="","",IF($E23&lt;&gt;"","入金済",IF($D23&lt;TODAY(),"延滞","未入金")))</f>
        <v/>
      </c>
    </row>
    <row r="24" customFormat="false" ht="15" hidden="false" customHeight="true" outlineLevel="0" collapsed="false">
      <c r="B24" s="54" t="str">
        <f aca="false">IF($A24="","",IFERROR(VLOOKUP($A24,請求管理!$A$4:$J$60,4,FALSE()),""))</f>
        <v/>
      </c>
      <c r="C24" s="49" t="str">
        <f aca="false">IF($A24="","",IFERROR(VLOOKUP($A24,請求管理!$A$4:$J$60,8,FALSE()),""))</f>
        <v/>
      </c>
      <c r="D24" s="71" t="str">
        <f aca="false">IF($A24="","",IFERROR(VLOOKUP($A24,請求管理!$A$4:$J$60,9,FALSE()),""))</f>
        <v/>
      </c>
      <c r="G24" s="46" t="str">
        <f aca="false">IF($A24="","",C24-F24)</f>
        <v/>
      </c>
      <c r="H24" s="72" t="str">
        <f aca="true">IF($A24="","",IF($E24&lt;&gt;"","入金済",IF($D24&lt;TODAY(),"延滞","未入金")))</f>
        <v/>
      </c>
    </row>
    <row r="25" customFormat="false" ht="15" hidden="false" customHeight="true" outlineLevel="0" collapsed="false">
      <c r="B25" s="54" t="str">
        <f aca="false">IF($A25="","",IFERROR(VLOOKUP($A25,請求管理!$A$4:$J$60,4,FALSE()),""))</f>
        <v/>
      </c>
      <c r="C25" s="49" t="str">
        <f aca="false">IF($A25="","",IFERROR(VLOOKUP($A25,請求管理!$A$4:$J$60,8,FALSE()),""))</f>
        <v/>
      </c>
      <c r="D25" s="71" t="str">
        <f aca="false">IF($A25="","",IFERROR(VLOOKUP($A25,請求管理!$A$4:$J$60,9,FALSE()),""))</f>
        <v/>
      </c>
      <c r="G25" s="46" t="str">
        <f aca="false">IF($A25="","",C25-F25)</f>
        <v/>
      </c>
      <c r="H25" s="72" t="str">
        <f aca="true">IF($A25="","",IF($E25&lt;&gt;"","入金済",IF($D25&lt;TODAY(),"延滞","未入金")))</f>
        <v/>
      </c>
    </row>
    <row r="26" customFormat="false" ht="15" hidden="false" customHeight="true" outlineLevel="0" collapsed="false">
      <c r="B26" s="54" t="str">
        <f aca="false">IF($A26="","",IFERROR(VLOOKUP($A26,請求管理!$A$4:$J$60,4,FALSE()),""))</f>
        <v/>
      </c>
      <c r="C26" s="49" t="str">
        <f aca="false">IF($A26="","",IFERROR(VLOOKUP($A26,請求管理!$A$4:$J$60,8,FALSE()),""))</f>
        <v/>
      </c>
      <c r="D26" s="71" t="str">
        <f aca="false">IF($A26="","",IFERROR(VLOOKUP($A26,請求管理!$A$4:$J$60,9,FALSE()),""))</f>
        <v/>
      </c>
      <c r="G26" s="46" t="str">
        <f aca="false">IF($A26="","",C26-F26)</f>
        <v/>
      </c>
      <c r="H26" s="72" t="str">
        <f aca="true">IF($A26="","",IF($E26&lt;&gt;"","入金済",IF($D26&lt;TODAY(),"延滞","未入金")))</f>
        <v/>
      </c>
    </row>
    <row r="27" customFormat="false" ht="15" hidden="false" customHeight="true" outlineLevel="0" collapsed="false">
      <c r="B27" s="54" t="str">
        <f aca="false">IF($A27="","",IFERROR(VLOOKUP($A27,請求管理!$A$4:$J$60,4,FALSE()),""))</f>
        <v/>
      </c>
      <c r="C27" s="49" t="str">
        <f aca="false">IF($A27="","",IFERROR(VLOOKUP($A27,請求管理!$A$4:$J$60,8,FALSE()),""))</f>
        <v/>
      </c>
      <c r="D27" s="71" t="str">
        <f aca="false">IF($A27="","",IFERROR(VLOOKUP($A27,請求管理!$A$4:$J$60,9,FALSE()),""))</f>
        <v/>
      </c>
      <c r="G27" s="46" t="str">
        <f aca="false">IF($A27="","",C27-F27)</f>
        <v/>
      </c>
      <c r="H27" s="72" t="str">
        <f aca="true">IF($A27="","",IF($E27&lt;&gt;"","入金済",IF($D27&lt;TODAY(),"延滞","未入金")))</f>
        <v/>
      </c>
    </row>
    <row r="28" customFormat="false" ht="15" hidden="false" customHeight="true" outlineLevel="0" collapsed="false">
      <c r="B28" s="54" t="str">
        <f aca="false">IF($A28="","",IFERROR(VLOOKUP($A28,請求管理!$A$4:$J$60,4,FALSE()),""))</f>
        <v/>
      </c>
      <c r="C28" s="49" t="str">
        <f aca="false">IF($A28="","",IFERROR(VLOOKUP($A28,請求管理!$A$4:$J$60,8,FALSE()),""))</f>
        <v/>
      </c>
      <c r="D28" s="71" t="str">
        <f aca="false">IF($A28="","",IFERROR(VLOOKUP($A28,請求管理!$A$4:$J$60,9,FALSE()),""))</f>
        <v/>
      </c>
      <c r="G28" s="46" t="str">
        <f aca="false">IF($A28="","",C28-F28)</f>
        <v/>
      </c>
      <c r="H28" s="72" t="str">
        <f aca="true">IF($A28="","",IF($E28&lt;&gt;"","入金済",IF($D28&lt;TODAY(),"延滞","未入金")))</f>
        <v/>
      </c>
    </row>
    <row r="29" customFormat="false" ht="15" hidden="false" customHeight="true" outlineLevel="0" collapsed="false">
      <c r="B29" s="54" t="str">
        <f aca="false">IF($A29="","",IFERROR(VLOOKUP($A29,請求管理!$A$4:$J$60,4,FALSE()),""))</f>
        <v/>
      </c>
      <c r="C29" s="49" t="str">
        <f aca="false">IF($A29="","",IFERROR(VLOOKUP($A29,請求管理!$A$4:$J$60,8,FALSE()),""))</f>
        <v/>
      </c>
      <c r="D29" s="71" t="str">
        <f aca="false">IF($A29="","",IFERROR(VLOOKUP($A29,請求管理!$A$4:$J$60,9,FALSE()),""))</f>
        <v/>
      </c>
      <c r="G29" s="46" t="str">
        <f aca="false">IF($A29="","",C29-F29)</f>
        <v/>
      </c>
      <c r="H29" s="72" t="str">
        <f aca="true">IF($A29="","",IF($E29&lt;&gt;"","入金済",IF($D29&lt;TODAY(),"延滞","未入金")))</f>
        <v/>
      </c>
    </row>
    <row r="30" customFormat="false" ht="15" hidden="false" customHeight="true" outlineLevel="0" collapsed="false">
      <c r="B30" s="54" t="str">
        <f aca="false">IF($A30="","",IFERROR(VLOOKUP($A30,請求管理!$A$4:$J$60,4,FALSE()),""))</f>
        <v/>
      </c>
      <c r="C30" s="49" t="str">
        <f aca="false">IF($A30="","",IFERROR(VLOOKUP($A30,請求管理!$A$4:$J$60,8,FALSE()),""))</f>
        <v/>
      </c>
      <c r="D30" s="71" t="str">
        <f aca="false">IF($A30="","",IFERROR(VLOOKUP($A30,請求管理!$A$4:$J$60,9,FALSE()),""))</f>
        <v/>
      </c>
      <c r="G30" s="46" t="str">
        <f aca="false">IF($A30="","",C30-F30)</f>
        <v/>
      </c>
      <c r="H30" s="72" t="str">
        <f aca="true">IF($A30="","",IF($E30&lt;&gt;"","入金済",IF($D30&lt;TODAY(),"延滞","未入金")))</f>
        <v/>
      </c>
    </row>
    <row r="31" customFormat="false" ht="15" hidden="false" customHeight="true" outlineLevel="0" collapsed="false">
      <c r="B31" s="54" t="str">
        <f aca="false">IF($A31="","",IFERROR(VLOOKUP($A31,請求管理!$A$4:$J$60,4,FALSE()),""))</f>
        <v/>
      </c>
      <c r="C31" s="49" t="str">
        <f aca="false">IF($A31="","",IFERROR(VLOOKUP($A31,請求管理!$A$4:$J$60,8,FALSE()),""))</f>
        <v/>
      </c>
      <c r="D31" s="71" t="str">
        <f aca="false">IF($A31="","",IFERROR(VLOOKUP($A31,請求管理!$A$4:$J$60,9,FALSE()),""))</f>
        <v/>
      </c>
      <c r="G31" s="46" t="str">
        <f aca="false">IF($A31="","",C31-F31)</f>
        <v/>
      </c>
      <c r="H31" s="72" t="str">
        <f aca="true">IF($A31="","",IF($E31&lt;&gt;"","入金済",IF($D31&lt;TODAY(),"延滞","未入金")))</f>
        <v/>
      </c>
    </row>
    <row r="32" customFormat="false" ht="15" hidden="false" customHeight="true" outlineLevel="0" collapsed="false">
      <c r="B32" s="54" t="str">
        <f aca="false">IF($A32="","",IFERROR(VLOOKUP($A32,請求管理!$A$4:$J$60,4,FALSE()),""))</f>
        <v/>
      </c>
      <c r="C32" s="49" t="str">
        <f aca="false">IF($A32="","",IFERROR(VLOOKUP($A32,請求管理!$A$4:$J$60,8,FALSE()),""))</f>
        <v/>
      </c>
      <c r="D32" s="71" t="str">
        <f aca="false">IF($A32="","",IFERROR(VLOOKUP($A32,請求管理!$A$4:$J$60,9,FALSE()),""))</f>
        <v/>
      </c>
      <c r="G32" s="46" t="str">
        <f aca="false">IF($A32="","",C32-F32)</f>
        <v/>
      </c>
      <c r="H32" s="72" t="str">
        <f aca="true">IF($A32="","",IF($E32&lt;&gt;"","入金済",IF($D32&lt;TODAY(),"延滞","未入金")))</f>
        <v/>
      </c>
    </row>
    <row r="33" customFormat="false" ht="15" hidden="false" customHeight="true" outlineLevel="0" collapsed="false">
      <c r="B33" s="54" t="str">
        <f aca="false">IF($A33="","",IFERROR(VLOOKUP($A33,請求管理!$A$4:$J$60,4,FALSE()),""))</f>
        <v/>
      </c>
      <c r="C33" s="49" t="str">
        <f aca="false">IF($A33="","",IFERROR(VLOOKUP($A33,請求管理!$A$4:$J$60,8,FALSE()),""))</f>
        <v/>
      </c>
      <c r="D33" s="71" t="str">
        <f aca="false">IF($A33="","",IFERROR(VLOOKUP($A33,請求管理!$A$4:$J$60,9,FALSE()),""))</f>
        <v/>
      </c>
      <c r="G33" s="46" t="str">
        <f aca="false">IF($A33="","",C33-F33)</f>
        <v/>
      </c>
      <c r="H33" s="72" t="str">
        <f aca="true">IF($A33="","",IF($E33&lt;&gt;"","入金済",IF($D33&lt;TODAY(),"延滞","未入金")))</f>
        <v/>
      </c>
    </row>
    <row r="34" customFormat="false" ht="15" hidden="false" customHeight="true" outlineLevel="0" collapsed="false">
      <c r="B34" s="54" t="str">
        <f aca="false">IF($A34="","",IFERROR(VLOOKUP($A34,請求管理!$A$4:$J$60,4,FALSE()),""))</f>
        <v/>
      </c>
      <c r="C34" s="49" t="str">
        <f aca="false">IF($A34="","",IFERROR(VLOOKUP($A34,請求管理!$A$4:$J$60,8,FALSE()),""))</f>
        <v/>
      </c>
      <c r="D34" s="71" t="str">
        <f aca="false">IF($A34="","",IFERROR(VLOOKUP($A34,請求管理!$A$4:$J$60,9,FALSE()),""))</f>
        <v/>
      </c>
      <c r="G34" s="46" t="str">
        <f aca="false">IF($A34="","",C34-F34)</f>
        <v/>
      </c>
      <c r="H34" s="72" t="str">
        <f aca="true">IF($A34="","",IF($E34&lt;&gt;"","入金済",IF($D34&lt;TODAY(),"延滞","未入金")))</f>
        <v/>
      </c>
    </row>
    <row r="35" customFormat="false" ht="15" hidden="false" customHeight="true" outlineLevel="0" collapsed="false">
      <c r="B35" s="54" t="str">
        <f aca="false">IF($A35="","",IFERROR(VLOOKUP($A35,請求管理!$A$4:$J$60,4,FALSE()),""))</f>
        <v/>
      </c>
      <c r="C35" s="49" t="str">
        <f aca="false">IF($A35="","",IFERROR(VLOOKUP($A35,請求管理!$A$4:$J$60,8,FALSE()),""))</f>
        <v/>
      </c>
      <c r="D35" s="71" t="str">
        <f aca="false">IF($A35="","",IFERROR(VLOOKUP($A35,請求管理!$A$4:$J$60,9,FALSE()),""))</f>
        <v/>
      </c>
      <c r="G35" s="46" t="str">
        <f aca="false">IF($A35="","",C35-F35)</f>
        <v/>
      </c>
      <c r="H35" s="72" t="str">
        <f aca="true">IF($A35="","",IF($E35&lt;&gt;"","入金済",IF($D35&lt;TODAY(),"延滞","未入金")))</f>
        <v/>
      </c>
    </row>
    <row r="36" customFormat="false" ht="15" hidden="false" customHeight="true" outlineLevel="0" collapsed="false">
      <c r="B36" s="54" t="str">
        <f aca="false">IF($A36="","",IFERROR(VLOOKUP($A36,請求管理!$A$4:$J$60,4,FALSE()),""))</f>
        <v/>
      </c>
      <c r="C36" s="49" t="str">
        <f aca="false">IF($A36="","",IFERROR(VLOOKUP($A36,請求管理!$A$4:$J$60,8,FALSE()),""))</f>
        <v/>
      </c>
      <c r="D36" s="71" t="str">
        <f aca="false">IF($A36="","",IFERROR(VLOOKUP($A36,請求管理!$A$4:$J$60,9,FALSE()),""))</f>
        <v/>
      </c>
      <c r="G36" s="46" t="str">
        <f aca="false">IF($A36="","",C36-F36)</f>
        <v/>
      </c>
      <c r="H36" s="72" t="str">
        <f aca="true">IF($A36="","",IF($E36&lt;&gt;"","入金済",IF($D36&lt;TODAY(),"延滞","未入金")))</f>
        <v/>
      </c>
    </row>
    <row r="37" customFormat="false" ht="15" hidden="false" customHeight="true" outlineLevel="0" collapsed="false">
      <c r="B37" s="54" t="str">
        <f aca="false">IF($A37="","",IFERROR(VLOOKUP($A37,請求管理!$A$4:$J$60,4,FALSE()),""))</f>
        <v/>
      </c>
      <c r="C37" s="49" t="str">
        <f aca="false">IF($A37="","",IFERROR(VLOOKUP($A37,請求管理!$A$4:$J$60,8,FALSE()),""))</f>
        <v/>
      </c>
      <c r="D37" s="71" t="str">
        <f aca="false">IF($A37="","",IFERROR(VLOOKUP($A37,請求管理!$A$4:$J$60,9,FALSE()),""))</f>
        <v/>
      </c>
      <c r="G37" s="46" t="str">
        <f aca="false">IF($A37="","",C37-F37)</f>
        <v/>
      </c>
      <c r="H37" s="72" t="str">
        <f aca="true">IF($A37="","",IF($E37&lt;&gt;"","入金済",IF($D37&lt;TODAY(),"延滞","未入金")))</f>
        <v/>
      </c>
    </row>
    <row r="38" customFormat="false" ht="15" hidden="false" customHeight="true" outlineLevel="0" collapsed="false">
      <c r="B38" s="54" t="str">
        <f aca="false">IF($A38="","",IFERROR(VLOOKUP($A38,請求管理!$A$4:$J$60,4,FALSE()),""))</f>
        <v/>
      </c>
      <c r="C38" s="49" t="str">
        <f aca="false">IF($A38="","",IFERROR(VLOOKUP($A38,請求管理!$A$4:$J$60,8,FALSE()),""))</f>
        <v/>
      </c>
      <c r="D38" s="71" t="str">
        <f aca="false">IF($A38="","",IFERROR(VLOOKUP($A38,請求管理!$A$4:$J$60,9,FALSE()),""))</f>
        <v/>
      </c>
      <c r="G38" s="46" t="str">
        <f aca="false">IF($A38="","",C38-F38)</f>
        <v/>
      </c>
      <c r="H38" s="72" t="str">
        <f aca="true">IF($A38="","",IF($E38&lt;&gt;"","入金済",IF($D38&lt;TODAY(),"延滞","未入金")))</f>
        <v/>
      </c>
    </row>
    <row r="39" customFormat="false" ht="15" hidden="false" customHeight="true" outlineLevel="0" collapsed="false">
      <c r="B39" s="54" t="str">
        <f aca="false">IF($A39="","",IFERROR(VLOOKUP($A39,請求管理!$A$4:$J$60,4,FALSE()),""))</f>
        <v/>
      </c>
      <c r="C39" s="49" t="str">
        <f aca="false">IF($A39="","",IFERROR(VLOOKUP($A39,請求管理!$A$4:$J$60,8,FALSE()),""))</f>
        <v/>
      </c>
      <c r="D39" s="71" t="str">
        <f aca="false">IF($A39="","",IFERROR(VLOOKUP($A39,請求管理!$A$4:$J$60,9,FALSE()),""))</f>
        <v/>
      </c>
      <c r="G39" s="46" t="str">
        <f aca="false">IF($A39="","",C39-F39)</f>
        <v/>
      </c>
      <c r="H39" s="72" t="str">
        <f aca="true">IF($A39="","",IF($E39&lt;&gt;"","入金済",IF($D39&lt;TODAY(),"延滞","未入金")))</f>
        <v/>
      </c>
    </row>
    <row r="40" customFormat="false" ht="15" hidden="false" customHeight="true" outlineLevel="0" collapsed="false">
      <c r="B40" s="54" t="str">
        <f aca="false">IF($A40="","",IFERROR(VLOOKUP($A40,請求管理!$A$4:$J$60,4,FALSE()),""))</f>
        <v/>
      </c>
      <c r="C40" s="49" t="str">
        <f aca="false">IF($A40="","",IFERROR(VLOOKUP($A40,請求管理!$A$4:$J$60,8,FALSE()),""))</f>
        <v/>
      </c>
      <c r="D40" s="71" t="str">
        <f aca="false">IF($A40="","",IFERROR(VLOOKUP($A40,請求管理!$A$4:$J$60,9,FALSE()),""))</f>
        <v/>
      </c>
      <c r="G40" s="46" t="str">
        <f aca="false">IF($A40="","",C40-F40)</f>
        <v/>
      </c>
      <c r="H40" s="72" t="str">
        <f aca="true">IF($A40="","",IF($E40&lt;&gt;"","入金済",IF($D40&lt;TODAY(),"延滞","未入金")))</f>
        <v/>
      </c>
    </row>
  </sheetData>
  <conditionalFormatting sqref="H4:H40">
    <cfRule type="expression" priority="2" aboveAverage="0" equalAverage="0" bottom="0" percent="0" rank="0" text="" dxfId="2">
      <formula>$H4="延滞"</formula>
    </cfRule>
    <cfRule type="expression" priority="3" aboveAverage="0" equalAverage="0" bottom="0" percent="0" rank="0" text="" dxfId="3">
      <formula>$H4="入金済"</formula>
    </cfRule>
  </conditionalFormatting>
  <dataValidations count="1">
    <dataValidation allowBlank="true" errorStyle="stop" operator="between" showDropDown="false" showErrorMessage="false" showInputMessage="false" sqref="A4:A40" type="list">
      <formula1>請求管理!$A$4:$A$60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0"/>
  </cols>
  <sheetData>
    <row r="1" customFormat="false" ht="17.25" hidden="false" customHeight="true" outlineLevel="0" collapsed="false">
      <c r="A1" s="21" t="s">
        <v>380</v>
      </c>
    </row>
    <row r="2" customFormat="false" ht="16.5" hidden="false" customHeight="true" outlineLevel="0" collapsed="false">
      <c r="A2" s="22" t="s">
        <v>381</v>
      </c>
    </row>
    <row r="3" customFormat="false" ht="29.25" hidden="false" customHeight="true" outlineLevel="0" collapsed="false">
      <c r="A3" s="23" t="s">
        <v>242</v>
      </c>
      <c r="B3" s="23" t="s">
        <v>243</v>
      </c>
      <c r="C3" s="23" t="s">
        <v>335</v>
      </c>
      <c r="D3" s="23" t="s">
        <v>36</v>
      </c>
      <c r="E3" s="23" t="s">
        <v>382</v>
      </c>
      <c r="F3" s="23" t="s">
        <v>383</v>
      </c>
      <c r="G3" s="23" t="s">
        <v>384</v>
      </c>
      <c r="H3" s="23" t="s">
        <v>329</v>
      </c>
      <c r="I3" s="23" t="s">
        <v>385</v>
      </c>
      <c r="J3" s="23" t="s">
        <v>386</v>
      </c>
      <c r="K3" s="23" t="s">
        <v>387</v>
      </c>
      <c r="L3" s="73" t="s">
        <v>388</v>
      </c>
      <c r="M3" s="73" t="s">
        <v>389</v>
      </c>
      <c r="N3" s="73" t="s">
        <v>390</v>
      </c>
      <c r="O3" s="73" t="s">
        <v>391</v>
      </c>
    </row>
    <row r="4" customFormat="false" ht="15" hidden="false" customHeight="true" outlineLevel="0" collapsed="false">
      <c r="A4" s="38" t="str">
        <f aca="false">IF(顧客マスタ!A4="","",顧客マスタ!A4)</f>
        <v>C001</v>
      </c>
      <c r="B4" s="54" t="str">
        <f aca="false">IF(顧客マスタ!B4="","",顧客マスタ!B4)</f>
        <v>パーラー〇〇 本店</v>
      </c>
      <c r="C4" s="38" t="str">
        <f aca="false">IF(顧客マスタ!E4="","",顧客マスタ!E4)</f>
        <v>スタンダード</v>
      </c>
      <c r="D4" s="49" t="n">
        <f aca="false">IF(顧客マスタ!F4="","",顧客マスタ!F4)</f>
        <v>100000</v>
      </c>
      <c r="E4" s="46" t="n">
        <f aca="false">IF($A4="","",SUMIFS(案件別収益!$J$4:$J$60,案件別収益!$B$4:$B$60,$A4))</f>
        <v>300000</v>
      </c>
      <c r="F4" s="46" t="n">
        <f aca="false">IF($A4="","",SUMIFS(案件別収益!$K$4:$K$60,案件別収益!$B$4:$B$60,$A4))</f>
        <v>12000</v>
      </c>
      <c r="G4" s="46" t="n">
        <f aca="false">IF($A4="","",E4-F4)</f>
        <v>288000</v>
      </c>
      <c r="H4" s="64" t="n">
        <f aca="false">IF(OR($A4="",E4=0),"",G4/E4)</f>
        <v>0.96</v>
      </c>
      <c r="I4" s="46" t="n">
        <f aca="false">IF($A4="","",SUMIFS(請求管理!$H$4:$H$60,請求管理!$C$4:$C$60,$A4))</f>
        <v>220000</v>
      </c>
      <c r="J4" s="46" t="n">
        <f aca="false">IF($A4="","",SUMIFS(入金管理!$F$4:$F$40,入金管理!$B$4:$B$40,B4))</f>
        <v>0</v>
      </c>
      <c r="K4" s="46" t="n">
        <f aca="false">IF($A4="","",I4-J4)</f>
        <v>220000</v>
      </c>
      <c r="L4" s="19" t="n">
        <f aca="false">IF($A4="","",COUNTIFS(案件別収益!$B$4:$B$60,$A4))</f>
        <v>3</v>
      </c>
      <c r="M4" s="19" t="n">
        <f aca="false">IF($A4="","",COUNTIFS(案件別収益!$B$4:$B$60,$A4,案件別収益!$T$4:$T$60,"通常販促"))</f>
        <v>0</v>
      </c>
      <c r="N4" s="19" t="n">
        <f aca="false">IF($A4="","",COUNTIFS(案件別収益!$B$4:$B$60,$A4,案件別収益!$T$4:$T$60,"オープン・大型"))</f>
        <v>1</v>
      </c>
      <c r="O4" s="19" t="n">
        <f aca="false">IF($A4="","",COUNTIFS(案件別収益!$B$4:$B$60,$A4,案件別収益!$T$4:$T$60,"特注"))</f>
        <v>0</v>
      </c>
    </row>
    <row r="5" customFormat="false" ht="15" hidden="false" customHeight="true" outlineLevel="0" collapsed="false">
      <c r="A5" s="38" t="str">
        <f aca="false">IF(顧客マスタ!A5="","",顧客マスタ!A5)</f>
        <v>C002</v>
      </c>
      <c r="B5" s="54" t="str">
        <f aca="false">IF(顧客マスタ!B5="","",顧客マスタ!B5)</f>
        <v>△△ホール 駅前店</v>
      </c>
      <c r="C5" s="38" t="str">
        <f aca="false">IF(顧客マスタ!E5="","",顧客マスタ!E5)</f>
        <v>ライト</v>
      </c>
      <c r="D5" s="49" t="n">
        <f aca="false">IF(顧客マスタ!F5="","",顧客マスタ!F5)</f>
        <v>60000</v>
      </c>
      <c r="E5" s="46" t="n">
        <f aca="false">IF($A5="","",SUMIFS(案件別収益!$J$4:$J$60,案件別収益!$B$4:$B$60,$A5))</f>
        <v>60000</v>
      </c>
      <c r="F5" s="46" t="n">
        <f aca="false">IF($A5="","",SUMIFS(案件別収益!$K$4:$K$60,案件別収益!$B$4:$B$60,$A5))</f>
        <v>0</v>
      </c>
      <c r="G5" s="46" t="n">
        <f aca="false">IF($A5="","",E5-F5)</f>
        <v>60000</v>
      </c>
      <c r="H5" s="64" t="n">
        <f aca="false">IF(OR($A5="",E5=0),"",G5/E5)</f>
        <v>1</v>
      </c>
      <c r="I5" s="46" t="n">
        <f aca="false">IF($A5="","",SUMIFS(請求管理!$H$4:$H$60,請求管理!$C$4:$C$60,$A5))</f>
        <v>0</v>
      </c>
      <c r="J5" s="46" t="n">
        <f aca="false">IF($A5="","",SUMIFS(入金管理!$F$4:$F$40,入金管理!$B$4:$B$40,B5))</f>
        <v>0</v>
      </c>
      <c r="K5" s="46" t="n">
        <f aca="false">IF($A5="","",I5-J5)</f>
        <v>0</v>
      </c>
      <c r="L5" s="19" t="n">
        <f aca="false">IF($A5="","",COUNTIFS(案件別収益!$B$4:$B$60,$A5))</f>
        <v>1</v>
      </c>
      <c r="M5" s="19" t="n">
        <f aca="false">IF($A5="","",COUNTIFS(案件別収益!$B$4:$B$60,$A5,案件別収益!$T$4:$T$60,"通常販促"))</f>
        <v>0</v>
      </c>
      <c r="N5" s="19" t="n">
        <f aca="false">IF($A5="","",COUNTIFS(案件別収益!$B$4:$B$60,$A5,案件別収益!$T$4:$T$60,"オープン・大型"))</f>
        <v>0</v>
      </c>
      <c r="O5" s="19" t="n">
        <f aca="false">IF($A5="","",COUNTIFS(案件別収益!$B$4:$B$60,$A5,案件別収益!$T$4:$T$60,"特注"))</f>
        <v>0</v>
      </c>
    </row>
    <row r="6" customFormat="false" ht="15" hidden="false" customHeight="true" outlineLevel="0" collapsed="false">
      <c r="A6" s="38" t="str">
        <f aca="false">IF(顧客マスタ!A6="","",顧客マスタ!A6)</f>
        <v>C003</v>
      </c>
      <c r="B6" s="54" t="str">
        <f aca="false">IF(顧客マスタ!B6="","",顧客マスタ!B6)</f>
        <v>□□会館</v>
      </c>
      <c r="C6" s="38" t="str">
        <f aca="false">IF(顧客マスタ!E6="","",顧客マスタ!E6)</f>
        <v>プレミアム</v>
      </c>
      <c r="D6" s="49" t="n">
        <f aca="false">IF(顧客マスタ!F6="","",顧客マスタ!F6)</f>
        <v>160000</v>
      </c>
      <c r="E6" s="46" t="n">
        <f aca="false">IF($A6="","",SUMIFS(案件別収益!$J$4:$J$60,案件別収益!$B$4:$B$60,$A6))</f>
        <v>470000</v>
      </c>
      <c r="F6" s="46" t="n">
        <f aca="false">IF($A6="","",SUMIFS(案件別収益!$K$4:$K$60,案件別収益!$B$4:$B$60,$A6))</f>
        <v>10000</v>
      </c>
      <c r="G6" s="46" t="n">
        <f aca="false">IF($A6="","",E6-F6)</f>
        <v>460000</v>
      </c>
      <c r="H6" s="64" t="n">
        <f aca="false">IF(OR($A6="",E6=0),"",G6/E6)</f>
        <v>0.978723404255319</v>
      </c>
      <c r="I6" s="46" t="n">
        <f aca="false">IF($A6="","",SUMIFS(請求管理!$H$4:$H$60,請求管理!$C$4:$C$60,$A6))</f>
        <v>517000</v>
      </c>
      <c r="J6" s="46" t="n">
        <f aca="false">IF($A6="","",SUMIFS(入金管理!$F$4:$F$40,入金管理!$B$4:$B$40,B6))</f>
        <v>310000</v>
      </c>
      <c r="K6" s="46" t="n">
        <f aca="false">IF($A6="","",I6-J6)</f>
        <v>207000</v>
      </c>
      <c r="L6" s="19" t="n">
        <f aca="false">IF($A6="","",COUNTIFS(案件別収益!$B$4:$B$60,$A6))</f>
        <v>3</v>
      </c>
      <c r="M6" s="19" t="n">
        <f aca="false">IF($A6="","",COUNTIFS(案件別収益!$B$4:$B$60,$A6,案件別収益!$T$4:$T$60,"通常販促"))</f>
        <v>0</v>
      </c>
      <c r="N6" s="19" t="n">
        <f aca="false">IF($A6="","",COUNTIFS(案件別収益!$B$4:$B$60,$A6,案件別収益!$T$4:$T$60,"オープン・大型"))</f>
        <v>1</v>
      </c>
      <c r="O6" s="19" t="n">
        <f aca="false">IF($A6="","",COUNTIFS(案件別収益!$B$4:$B$60,$A6,案件別収益!$T$4:$T$60,"特注"))</f>
        <v>0</v>
      </c>
    </row>
    <row r="7" customFormat="false" ht="15" hidden="false" customHeight="true" outlineLevel="0" collapsed="false">
      <c r="A7" s="38" t="str">
        <f aca="false">IF(顧客マスタ!A7="","",顧客マスタ!A7)</f>
        <v>C004</v>
      </c>
      <c r="B7" s="54" t="str">
        <f aca="false">IF(顧客マスタ!B7="","",顧客マスタ!B7)</f>
        <v>◇◇パチンコ</v>
      </c>
      <c r="C7" s="38" t="str">
        <f aca="false">IF(顧客マスタ!E7="","",顧客マスタ!E7)</f>
        <v>ライト</v>
      </c>
      <c r="D7" s="49" t="n">
        <f aca="false">IF(顧客マスタ!F7="","",顧客マスタ!F7)</f>
        <v>60000</v>
      </c>
      <c r="E7" s="46" t="n">
        <f aca="false">IF($A7="","",SUMIFS(案件別収益!$J$4:$J$60,案件別収益!$B$4:$B$60,$A7))</f>
        <v>0</v>
      </c>
      <c r="F7" s="46" t="n">
        <f aca="false">IF($A7="","",SUMIFS(案件別収益!$K$4:$K$60,案件別収益!$B$4:$B$60,$A7))</f>
        <v>0</v>
      </c>
      <c r="G7" s="46" t="n">
        <f aca="false">IF($A7="","",E7-F7)</f>
        <v>0</v>
      </c>
      <c r="H7" s="64" t="str">
        <f aca="false">IF(OR($A7="",E7=0),"",G7/E7)</f>
        <v/>
      </c>
      <c r="I7" s="46" t="n">
        <f aca="false">IF($A7="","",SUMIFS(請求管理!$H$4:$H$60,請求管理!$C$4:$C$60,$A7))</f>
        <v>0</v>
      </c>
      <c r="J7" s="46" t="n">
        <f aca="false">IF($A7="","",SUMIFS(入金管理!$F$4:$F$40,入金管理!$B$4:$B$40,B7))</f>
        <v>0</v>
      </c>
      <c r="K7" s="46" t="n">
        <f aca="false">IF($A7="","",I7-J7)</f>
        <v>0</v>
      </c>
      <c r="L7" s="19" t="n">
        <f aca="false">IF($A7="","",COUNTIFS(案件別収益!$B$4:$B$60,$A7))</f>
        <v>0</v>
      </c>
      <c r="M7" s="19" t="n">
        <f aca="false">IF($A7="","",COUNTIFS(案件別収益!$B$4:$B$60,$A7,案件別収益!$T$4:$T$60,"通常販促"))</f>
        <v>0</v>
      </c>
      <c r="N7" s="19" t="n">
        <f aca="false">IF($A7="","",COUNTIFS(案件別収益!$B$4:$B$60,$A7,案件別収益!$T$4:$T$60,"オープン・大型"))</f>
        <v>0</v>
      </c>
      <c r="O7" s="19" t="n">
        <f aca="false">IF($A7="","",COUNTIFS(案件別収益!$B$4:$B$60,$A7,案件別収益!$T$4:$T$60,"特注"))</f>
        <v>0</v>
      </c>
    </row>
    <row r="8" customFormat="false" ht="15" hidden="false" customHeight="true" outlineLevel="0" collapsed="false">
      <c r="A8" s="38" t="str">
        <f aca="false">IF(顧客マスタ!A8="","",顧客マスタ!A8)</f>
        <v/>
      </c>
      <c r="B8" s="54" t="str">
        <f aca="false">IF(顧客マスタ!B8="","",顧客マスタ!B8)</f>
        <v/>
      </c>
      <c r="C8" s="38" t="str">
        <f aca="false">IF(顧客マスタ!E8="","",顧客マスタ!E8)</f>
        <v/>
      </c>
      <c r="D8" s="49" t="str">
        <f aca="false">IF(顧客マスタ!F8="","",顧客マスタ!F8)</f>
        <v/>
      </c>
      <c r="E8" s="46" t="str">
        <f aca="false">IF($A8="","",SUMIFS(案件別収益!$J$4:$J$60,案件別収益!$B$4:$B$60,$A8))</f>
        <v/>
      </c>
      <c r="F8" s="46" t="str">
        <f aca="false">IF($A8="","",SUMIFS(案件別収益!$K$4:$K$60,案件別収益!$B$4:$B$60,$A8))</f>
        <v/>
      </c>
      <c r="G8" s="46" t="str">
        <f aca="false">IF($A8="","",E8-F8)</f>
        <v/>
      </c>
      <c r="H8" s="64" t="str">
        <f aca="false">IF(OR($A8="",E8=0),"",G8/E8)</f>
        <v/>
      </c>
      <c r="I8" s="46" t="str">
        <f aca="false">IF($A8="","",SUMIFS(請求管理!$H$4:$H$60,請求管理!$C$4:$C$60,$A8))</f>
        <v/>
      </c>
      <c r="J8" s="46" t="str">
        <f aca="false">IF($A8="","",SUMIFS(入金管理!$F$4:$F$40,入金管理!$B$4:$B$40,B8))</f>
        <v/>
      </c>
      <c r="K8" s="46" t="str">
        <f aca="false">IF($A8="","",I8-J8)</f>
        <v/>
      </c>
      <c r="L8" s="19" t="str">
        <f aca="false">IF($A8="","",COUNTIFS(案件別収益!$B$4:$B$60,$A8))</f>
        <v/>
      </c>
      <c r="M8" s="19" t="str">
        <f aca="false">IF($A8="","",COUNTIFS(案件別収益!$B$4:$B$60,$A8,案件別収益!$T$4:$T$60,"通常販促"))</f>
        <v/>
      </c>
      <c r="N8" s="19" t="str">
        <f aca="false">IF($A8="","",COUNTIFS(案件別収益!$B$4:$B$60,$A8,案件別収益!$T$4:$T$60,"オープン・大型"))</f>
        <v/>
      </c>
      <c r="O8" s="19" t="str">
        <f aca="false">IF($A8="","",COUNTIFS(案件別収益!$B$4:$B$60,$A8,案件別収益!$T$4:$T$60,"特注"))</f>
        <v/>
      </c>
    </row>
    <row r="9" customFormat="false" ht="15" hidden="false" customHeight="true" outlineLevel="0" collapsed="false">
      <c r="A9" s="38" t="str">
        <f aca="false">IF(顧客マスタ!A9="","",顧客マスタ!A9)</f>
        <v/>
      </c>
      <c r="B9" s="54" t="str">
        <f aca="false">IF(顧客マスタ!B9="","",顧客マスタ!B9)</f>
        <v/>
      </c>
      <c r="C9" s="38" t="str">
        <f aca="false">IF(顧客マスタ!E9="","",顧客マスタ!E9)</f>
        <v/>
      </c>
      <c r="D9" s="49" t="str">
        <f aca="false">IF(顧客マスタ!F9="","",顧客マスタ!F9)</f>
        <v/>
      </c>
      <c r="E9" s="46" t="str">
        <f aca="false">IF($A9="","",SUMIFS(案件別収益!$J$4:$J$60,案件別収益!$B$4:$B$60,$A9))</f>
        <v/>
      </c>
      <c r="F9" s="46" t="str">
        <f aca="false">IF($A9="","",SUMIFS(案件別収益!$K$4:$K$60,案件別収益!$B$4:$B$60,$A9))</f>
        <v/>
      </c>
      <c r="G9" s="46" t="str">
        <f aca="false">IF($A9="","",E9-F9)</f>
        <v/>
      </c>
      <c r="H9" s="64" t="str">
        <f aca="false">IF(OR($A9="",E9=0),"",G9/E9)</f>
        <v/>
      </c>
      <c r="I9" s="46" t="str">
        <f aca="false">IF($A9="","",SUMIFS(請求管理!$H$4:$H$60,請求管理!$C$4:$C$60,$A9))</f>
        <v/>
      </c>
      <c r="J9" s="46" t="str">
        <f aca="false">IF($A9="","",SUMIFS(入金管理!$F$4:$F$40,入金管理!$B$4:$B$40,B9))</f>
        <v/>
      </c>
      <c r="K9" s="46" t="str">
        <f aca="false">IF($A9="","",I9-J9)</f>
        <v/>
      </c>
      <c r="L9" s="19" t="str">
        <f aca="false">IF($A9="","",COUNTIFS(案件別収益!$B$4:$B$60,$A9))</f>
        <v/>
      </c>
      <c r="M9" s="19" t="str">
        <f aca="false">IF($A9="","",COUNTIFS(案件別収益!$B$4:$B$60,$A9,案件別収益!$T$4:$T$60,"通常販促"))</f>
        <v/>
      </c>
      <c r="N9" s="19" t="str">
        <f aca="false">IF($A9="","",COUNTIFS(案件別収益!$B$4:$B$60,$A9,案件別収益!$T$4:$T$60,"オープン・大型"))</f>
        <v/>
      </c>
      <c r="O9" s="19" t="str">
        <f aca="false">IF($A9="","",COUNTIFS(案件別収益!$B$4:$B$60,$A9,案件別収益!$T$4:$T$60,"特注"))</f>
        <v/>
      </c>
    </row>
    <row r="10" customFormat="false" ht="15" hidden="false" customHeight="true" outlineLevel="0" collapsed="false">
      <c r="A10" s="38" t="str">
        <f aca="false">IF(顧客マスタ!A10="","",顧客マスタ!A10)</f>
        <v/>
      </c>
      <c r="B10" s="54" t="str">
        <f aca="false">IF(顧客マスタ!B10="","",顧客マスタ!B10)</f>
        <v/>
      </c>
      <c r="C10" s="38" t="str">
        <f aca="false">IF(顧客マスタ!E10="","",顧客マスタ!E10)</f>
        <v/>
      </c>
      <c r="D10" s="49" t="str">
        <f aca="false">IF(顧客マスタ!F10="","",顧客マスタ!F10)</f>
        <v/>
      </c>
      <c r="E10" s="46" t="str">
        <f aca="false">IF($A10="","",SUMIFS(案件別収益!$J$4:$J$60,案件別収益!$B$4:$B$60,$A10))</f>
        <v/>
      </c>
      <c r="F10" s="46" t="str">
        <f aca="false">IF($A10="","",SUMIFS(案件別収益!$K$4:$K$60,案件別収益!$B$4:$B$60,$A10))</f>
        <v/>
      </c>
      <c r="G10" s="46" t="str">
        <f aca="false">IF($A10="","",E10-F10)</f>
        <v/>
      </c>
      <c r="H10" s="64" t="str">
        <f aca="false">IF(OR($A10="",E10=0),"",G10/E10)</f>
        <v/>
      </c>
      <c r="I10" s="46" t="str">
        <f aca="false">IF($A10="","",SUMIFS(請求管理!$H$4:$H$60,請求管理!$C$4:$C$60,$A10))</f>
        <v/>
      </c>
      <c r="J10" s="46" t="str">
        <f aca="false">IF($A10="","",SUMIFS(入金管理!$F$4:$F$40,入金管理!$B$4:$B$40,B10))</f>
        <v/>
      </c>
      <c r="K10" s="46" t="str">
        <f aca="false">IF($A10="","",I10-J10)</f>
        <v/>
      </c>
      <c r="L10" s="19" t="str">
        <f aca="false">IF($A10="","",COUNTIFS(案件別収益!$B$4:$B$60,$A10))</f>
        <v/>
      </c>
      <c r="M10" s="19" t="str">
        <f aca="false">IF($A10="","",COUNTIFS(案件別収益!$B$4:$B$60,$A10,案件別収益!$T$4:$T$60,"通常販促"))</f>
        <v/>
      </c>
      <c r="N10" s="19" t="str">
        <f aca="false">IF($A10="","",COUNTIFS(案件別収益!$B$4:$B$60,$A10,案件別収益!$T$4:$T$60,"オープン・大型"))</f>
        <v/>
      </c>
      <c r="O10" s="19" t="str">
        <f aca="false">IF($A10="","",COUNTIFS(案件別収益!$B$4:$B$60,$A10,案件別収益!$T$4:$T$60,"特注"))</f>
        <v/>
      </c>
    </row>
    <row r="11" customFormat="false" ht="15" hidden="false" customHeight="true" outlineLevel="0" collapsed="false">
      <c r="A11" s="38" t="str">
        <f aca="false">IF(顧客マスタ!A11="","",顧客マスタ!A11)</f>
        <v/>
      </c>
      <c r="B11" s="54" t="str">
        <f aca="false">IF(顧客マスタ!B11="","",顧客マスタ!B11)</f>
        <v/>
      </c>
      <c r="C11" s="38" t="str">
        <f aca="false">IF(顧客マスタ!E11="","",顧客マスタ!E11)</f>
        <v/>
      </c>
      <c r="D11" s="49" t="str">
        <f aca="false">IF(顧客マスタ!F11="","",顧客マスタ!F11)</f>
        <v/>
      </c>
      <c r="E11" s="46" t="str">
        <f aca="false">IF($A11="","",SUMIFS(案件別収益!$J$4:$J$60,案件別収益!$B$4:$B$60,$A11))</f>
        <v/>
      </c>
      <c r="F11" s="46" t="str">
        <f aca="false">IF($A11="","",SUMIFS(案件別収益!$K$4:$K$60,案件別収益!$B$4:$B$60,$A11))</f>
        <v/>
      </c>
      <c r="G11" s="46" t="str">
        <f aca="false">IF($A11="","",E11-F11)</f>
        <v/>
      </c>
      <c r="H11" s="64" t="str">
        <f aca="false">IF(OR($A11="",E11=0),"",G11/E11)</f>
        <v/>
      </c>
      <c r="I11" s="46" t="str">
        <f aca="false">IF($A11="","",SUMIFS(請求管理!$H$4:$H$60,請求管理!$C$4:$C$60,$A11))</f>
        <v/>
      </c>
      <c r="J11" s="46" t="str">
        <f aca="false">IF($A11="","",SUMIFS(入金管理!$F$4:$F$40,入金管理!$B$4:$B$40,B11))</f>
        <v/>
      </c>
      <c r="K11" s="46" t="str">
        <f aca="false">IF($A11="","",I11-J11)</f>
        <v/>
      </c>
      <c r="L11" s="19" t="str">
        <f aca="false">IF($A11="","",COUNTIFS(案件別収益!$B$4:$B$60,$A11))</f>
        <v/>
      </c>
      <c r="M11" s="19" t="str">
        <f aca="false">IF($A11="","",COUNTIFS(案件別収益!$B$4:$B$60,$A11,案件別収益!$T$4:$T$60,"通常販促"))</f>
        <v/>
      </c>
      <c r="N11" s="19" t="str">
        <f aca="false">IF($A11="","",COUNTIFS(案件別収益!$B$4:$B$60,$A11,案件別収益!$T$4:$T$60,"オープン・大型"))</f>
        <v/>
      </c>
      <c r="O11" s="19" t="str">
        <f aca="false">IF($A11="","",COUNTIFS(案件別収益!$B$4:$B$60,$A11,案件別収益!$T$4:$T$60,"特注"))</f>
        <v/>
      </c>
    </row>
    <row r="12" customFormat="false" ht="15" hidden="false" customHeight="true" outlineLevel="0" collapsed="false">
      <c r="A12" s="38" t="str">
        <f aca="false">IF(顧客マスタ!A12="","",顧客マスタ!A12)</f>
        <v/>
      </c>
      <c r="B12" s="54" t="str">
        <f aca="false">IF(顧客マスタ!B12="","",顧客マスタ!B12)</f>
        <v/>
      </c>
      <c r="C12" s="38" t="str">
        <f aca="false">IF(顧客マスタ!E12="","",顧客マスタ!E12)</f>
        <v/>
      </c>
      <c r="D12" s="49" t="str">
        <f aca="false">IF(顧客マスタ!F12="","",顧客マスタ!F12)</f>
        <v/>
      </c>
      <c r="E12" s="46" t="str">
        <f aca="false">IF($A12="","",SUMIFS(案件別収益!$J$4:$J$60,案件別収益!$B$4:$B$60,$A12))</f>
        <v/>
      </c>
      <c r="F12" s="46" t="str">
        <f aca="false">IF($A12="","",SUMIFS(案件別収益!$K$4:$K$60,案件別収益!$B$4:$B$60,$A12))</f>
        <v/>
      </c>
      <c r="G12" s="46" t="str">
        <f aca="false">IF($A12="","",E12-F12)</f>
        <v/>
      </c>
      <c r="H12" s="64" t="str">
        <f aca="false">IF(OR($A12="",E12=0),"",G12/E12)</f>
        <v/>
      </c>
      <c r="I12" s="46" t="str">
        <f aca="false">IF($A12="","",SUMIFS(請求管理!$H$4:$H$60,請求管理!$C$4:$C$60,$A12))</f>
        <v/>
      </c>
      <c r="J12" s="46" t="str">
        <f aca="false">IF($A12="","",SUMIFS(入金管理!$F$4:$F$40,入金管理!$B$4:$B$40,B12))</f>
        <v/>
      </c>
      <c r="K12" s="46" t="str">
        <f aca="false">IF($A12="","",I12-J12)</f>
        <v/>
      </c>
      <c r="L12" s="19" t="str">
        <f aca="false">IF($A12="","",COUNTIFS(案件別収益!$B$4:$B$60,$A12))</f>
        <v/>
      </c>
      <c r="M12" s="19" t="str">
        <f aca="false">IF($A12="","",COUNTIFS(案件別収益!$B$4:$B$60,$A12,案件別収益!$T$4:$T$60,"通常販促"))</f>
        <v/>
      </c>
      <c r="N12" s="19" t="str">
        <f aca="false">IF($A12="","",COUNTIFS(案件別収益!$B$4:$B$60,$A12,案件別収益!$T$4:$T$60,"オープン・大型"))</f>
        <v/>
      </c>
      <c r="O12" s="19" t="str">
        <f aca="false">IF($A12="","",COUNTIFS(案件別収益!$B$4:$B$60,$A12,案件別収益!$T$4:$T$60,"特注"))</f>
        <v/>
      </c>
    </row>
    <row r="13" customFormat="false" ht="15" hidden="false" customHeight="true" outlineLevel="0" collapsed="false">
      <c r="A13" s="38" t="str">
        <f aca="false">IF(顧客マスタ!A13="","",顧客マスタ!A13)</f>
        <v/>
      </c>
      <c r="B13" s="54" t="str">
        <f aca="false">IF(顧客マスタ!B13="","",顧客マスタ!B13)</f>
        <v/>
      </c>
      <c r="C13" s="38" t="str">
        <f aca="false">IF(顧客マスタ!E13="","",顧客マスタ!E13)</f>
        <v/>
      </c>
      <c r="D13" s="49" t="str">
        <f aca="false">IF(顧客マスタ!F13="","",顧客マスタ!F13)</f>
        <v/>
      </c>
      <c r="E13" s="46" t="str">
        <f aca="false">IF($A13="","",SUMIFS(案件別収益!$J$4:$J$60,案件別収益!$B$4:$B$60,$A13))</f>
        <v/>
      </c>
      <c r="F13" s="46" t="str">
        <f aca="false">IF($A13="","",SUMIFS(案件別収益!$K$4:$K$60,案件別収益!$B$4:$B$60,$A13))</f>
        <v/>
      </c>
      <c r="G13" s="46" t="str">
        <f aca="false">IF($A13="","",E13-F13)</f>
        <v/>
      </c>
      <c r="H13" s="64" t="str">
        <f aca="false">IF(OR($A13="",E13=0),"",G13/E13)</f>
        <v/>
      </c>
      <c r="I13" s="46" t="str">
        <f aca="false">IF($A13="","",SUMIFS(請求管理!$H$4:$H$60,請求管理!$C$4:$C$60,$A13))</f>
        <v/>
      </c>
      <c r="J13" s="46" t="str">
        <f aca="false">IF($A13="","",SUMIFS(入金管理!$F$4:$F$40,入金管理!$B$4:$B$40,B13))</f>
        <v/>
      </c>
      <c r="K13" s="46" t="str">
        <f aca="false">IF($A13="","",I13-J13)</f>
        <v/>
      </c>
      <c r="L13" s="19" t="str">
        <f aca="false">IF($A13="","",COUNTIFS(案件別収益!$B$4:$B$60,$A13))</f>
        <v/>
      </c>
      <c r="M13" s="19" t="str">
        <f aca="false">IF($A13="","",COUNTIFS(案件別収益!$B$4:$B$60,$A13,案件別収益!$T$4:$T$60,"通常販促"))</f>
        <v/>
      </c>
      <c r="N13" s="19" t="str">
        <f aca="false">IF($A13="","",COUNTIFS(案件別収益!$B$4:$B$60,$A13,案件別収益!$T$4:$T$60,"オープン・大型"))</f>
        <v/>
      </c>
      <c r="O13" s="19" t="str">
        <f aca="false">IF($A13="","",COUNTIFS(案件別収益!$B$4:$B$60,$A13,案件別収益!$T$4:$T$60,"特注"))</f>
        <v/>
      </c>
    </row>
    <row r="14" customFormat="false" ht="15" hidden="false" customHeight="true" outlineLevel="0" collapsed="false">
      <c r="A14" s="38" t="str">
        <f aca="false">IF(顧客マスタ!A14="","",顧客マスタ!A14)</f>
        <v/>
      </c>
      <c r="B14" s="54" t="str">
        <f aca="false">IF(顧客マスタ!B14="","",顧客マスタ!B14)</f>
        <v/>
      </c>
      <c r="C14" s="38" t="str">
        <f aca="false">IF(顧客マスタ!E14="","",顧客マスタ!E14)</f>
        <v/>
      </c>
      <c r="D14" s="49" t="str">
        <f aca="false">IF(顧客マスタ!F14="","",顧客マスタ!F14)</f>
        <v/>
      </c>
      <c r="E14" s="46" t="str">
        <f aca="false">IF($A14="","",SUMIFS(案件別収益!$J$4:$J$60,案件別収益!$B$4:$B$60,$A14))</f>
        <v/>
      </c>
      <c r="F14" s="46" t="str">
        <f aca="false">IF($A14="","",SUMIFS(案件別収益!$K$4:$K$60,案件別収益!$B$4:$B$60,$A14))</f>
        <v/>
      </c>
      <c r="G14" s="46" t="str">
        <f aca="false">IF($A14="","",E14-F14)</f>
        <v/>
      </c>
      <c r="H14" s="64" t="str">
        <f aca="false">IF(OR($A14="",E14=0),"",G14/E14)</f>
        <v/>
      </c>
      <c r="I14" s="46" t="str">
        <f aca="false">IF($A14="","",SUMIFS(請求管理!$H$4:$H$60,請求管理!$C$4:$C$60,$A14))</f>
        <v/>
      </c>
      <c r="J14" s="46" t="str">
        <f aca="false">IF($A14="","",SUMIFS(入金管理!$F$4:$F$40,入金管理!$B$4:$B$40,B14))</f>
        <v/>
      </c>
      <c r="K14" s="46" t="str">
        <f aca="false">IF($A14="","",I14-J14)</f>
        <v/>
      </c>
      <c r="L14" s="19" t="str">
        <f aca="false">IF($A14="","",COUNTIFS(案件別収益!$B$4:$B$60,$A14))</f>
        <v/>
      </c>
      <c r="M14" s="19" t="str">
        <f aca="false">IF($A14="","",COUNTIFS(案件別収益!$B$4:$B$60,$A14,案件別収益!$T$4:$T$60,"通常販促"))</f>
        <v/>
      </c>
      <c r="N14" s="19" t="str">
        <f aca="false">IF($A14="","",COUNTIFS(案件別収益!$B$4:$B$60,$A14,案件別収益!$T$4:$T$60,"オープン・大型"))</f>
        <v/>
      </c>
      <c r="O14" s="19" t="str">
        <f aca="false">IF($A14="","",COUNTIFS(案件別収益!$B$4:$B$60,$A14,案件別収益!$T$4:$T$60,"特注"))</f>
        <v/>
      </c>
    </row>
    <row r="15" customFormat="false" ht="15" hidden="false" customHeight="true" outlineLevel="0" collapsed="false">
      <c r="A15" s="38" t="str">
        <f aca="false">IF(顧客マスタ!A15="","",顧客マスタ!A15)</f>
        <v/>
      </c>
      <c r="B15" s="54" t="str">
        <f aca="false">IF(顧客マスタ!B15="","",顧客マスタ!B15)</f>
        <v/>
      </c>
      <c r="C15" s="38" t="str">
        <f aca="false">IF(顧客マスタ!E15="","",顧客マスタ!E15)</f>
        <v/>
      </c>
      <c r="D15" s="49" t="str">
        <f aca="false">IF(顧客マスタ!F15="","",顧客マスタ!F15)</f>
        <v/>
      </c>
      <c r="E15" s="46" t="str">
        <f aca="false">IF($A15="","",SUMIFS(案件別収益!$J$4:$J$60,案件別収益!$B$4:$B$60,$A15))</f>
        <v/>
      </c>
      <c r="F15" s="46" t="str">
        <f aca="false">IF($A15="","",SUMIFS(案件別収益!$K$4:$K$60,案件別収益!$B$4:$B$60,$A15))</f>
        <v/>
      </c>
      <c r="G15" s="46" t="str">
        <f aca="false">IF($A15="","",E15-F15)</f>
        <v/>
      </c>
      <c r="H15" s="64" t="str">
        <f aca="false">IF(OR($A15="",E15=0),"",G15/E15)</f>
        <v/>
      </c>
      <c r="I15" s="46" t="str">
        <f aca="false">IF($A15="","",SUMIFS(請求管理!$H$4:$H$60,請求管理!$C$4:$C$60,$A15))</f>
        <v/>
      </c>
      <c r="J15" s="46" t="str">
        <f aca="false">IF($A15="","",SUMIFS(入金管理!$F$4:$F$40,入金管理!$B$4:$B$40,B15))</f>
        <v/>
      </c>
      <c r="K15" s="46" t="str">
        <f aca="false">IF($A15="","",I15-J15)</f>
        <v/>
      </c>
      <c r="L15" s="19" t="str">
        <f aca="false">IF($A15="","",COUNTIFS(案件別収益!$B$4:$B$60,$A15))</f>
        <v/>
      </c>
      <c r="M15" s="19" t="str">
        <f aca="false">IF($A15="","",COUNTIFS(案件別収益!$B$4:$B$60,$A15,案件別収益!$T$4:$T$60,"通常販促"))</f>
        <v/>
      </c>
      <c r="N15" s="19" t="str">
        <f aca="false">IF($A15="","",COUNTIFS(案件別収益!$B$4:$B$60,$A15,案件別収益!$T$4:$T$60,"オープン・大型"))</f>
        <v/>
      </c>
      <c r="O15" s="19" t="str">
        <f aca="false">IF($A15="","",COUNTIFS(案件別収益!$B$4:$B$60,$A15,案件別収益!$T$4:$T$60,"特注"))</f>
        <v/>
      </c>
    </row>
  </sheetData>
  <conditionalFormatting sqref="H4:H15">
    <cfRule type="cellIs" priority="2" operator="lessThan" aboveAverage="0" equalAverage="0" bottom="0" percent="0" rank="0" text="" dxfId="0">
      <formula>0.7</formula>
    </cfRule>
  </conditionalFormatting>
  <conditionalFormatting sqref="K4:K15">
    <cfRule type="cellIs" priority="3" operator="greater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74" t="s">
        <v>392</v>
      </c>
    </row>
    <row r="2" customFormat="false" ht="17.15" hidden="false" customHeight="false" outlineLevel="0" collapsed="false">
      <c r="A2" s="11" t="s">
        <v>393</v>
      </c>
    </row>
    <row r="3" customFormat="false" ht="32.8" hidden="false" customHeight="false" outlineLevel="0" collapsed="false">
      <c r="A3" s="12" t="s">
        <v>394</v>
      </c>
      <c r="B3" s="12" t="s">
        <v>331</v>
      </c>
      <c r="C3" s="12" t="s">
        <v>332</v>
      </c>
      <c r="D3" s="12" t="s">
        <v>395</v>
      </c>
      <c r="E3" s="12" t="s">
        <v>396</v>
      </c>
      <c r="F3" s="12" t="s">
        <v>397</v>
      </c>
      <c r="G3" s="12" t="s">
        <v>398</v>
      </c>
      <c r="I3" s="75" t="s">
        <v>60</v>
      </c>
      <c r="J3" s="73" t="s">
        <v>332</v>
      </c>
      <c r="K3" s="73" t="s">
        <v>399</v>
      </c>
      <c r="L3" s="73" t="s">
        <v>400</v>
      </c>
      <c r="M3" s="73" t="s">
        <v>401</v>
      </c>
      <c r="N3" s="73" t="s">
        <v>402</v>
      </c>
      <c r="O3" s="73" t="s">
        <v>403</v>
      </c>
    </row>
    <row r="4" customFormat="false" ht="15" hidden="false" customHeight="false" outlineLevel="0" collapsed="false">
      <c r="A4" s="62" t="n">
        <v>46175</v>
      </c>
      <c r="B4" s="41" t="s">
        <v>64</v>
      </c>
      <c r="C4" s="65" t="str">
        <f aca="false">IF($B4="","",IFERROR(VLOOKUP($B4,Theme_Master!$A$4:$B$22,2,FALSE()),""))</f>
        <v>新台入替</v>
      </c>
      <c r="D4" s="41"/>
      <c r="E4" s="41" t="n">
        <v>4</v>
      </c>
      <c r="F4" s="76" t="n">
        <v>4.5</v>
      </c>
      <c r="G4" s="15" t="n">
        <v>0</v>
      </c>
      <c r="I4" s="77" t="s">
        <v>64</v>
      </c>
      <c r="J4" s="65" t="str">
        <f aca="false">IFERROR(VLOOKUP(I4,Theme_Master!$A$4:$B$22,2,FALSE()),"")</f>
        <v>新台入替</v>
      </c>
      <c r="K4" s="19" t="n">
        <f aca="false">COUNTIF(テーマ別工数分析!$B$4:$B$60,I4)</f>
        <v>1</v>
      </c>
      <c r="L4" s="16" t="n">
        <f aca="false">SUMIF(テーマ別工数分析!$B$4:$B$60,I4,テーマ別工数分析!$F$4:$F$60)</f>
        <v>4.5</v>
      </c>
      <c r="M4" s="16" t="n">
        <f aca="false">IF(K4=0,"",ROUND(L4/K4,1))</f>
        <v>4.5</v>
      </c>
      <c r="N4" s="43" t="n">
        <f aca="false">SUMIF(テーマ別工数分析!$B$4:$B$60,I4,テーマ別工数分析!$G$4:$G$60)</f>
        <v>0</v>
      </c>
      <c r="O4" s="43" t="n">
        <f aca="false">IF(L4=0,"",ROUND(N4/L4,0))</f>
        <v>0</v>
      </c>
    </row>
    <row r="5" customFormat="false" ht="15" hidden="false" customHeight="false" outlineLevel="0" collapsed="false">
      <c r="A5" s="62" t="n">
        <v>46176</v>
      </c>
      <c r="B5" s="41" t="s">
        <v>83</v>
      </c>
      <c r="C5" s="65" t="str">
        <f aca="false">IF($B5="","",IFERROR(VLOOKUP($B5,Theme_Master!$A$4:$B$22,2,FALSE()),""))</f>
        <v>営業スケジュール</v>
      </c>
      <c r="D5" s="41"/>
      <c r="E5" s="41" t="n">
        <v>2</v>
      </c>
      <c r="F5" s="76" t="n">
        <v>2</v>
      </c>
      <c r="G5" s="15" t="n">
        <v>0</v>
      </c>
      <c r="I5" s="77" t="s">
        <v>68</v>
      </c>
      <c r="J5" s="65" t="str">
        <f aca="false">IFERROR(VLOOKUP(I5,Theme_Master!$A$4:$B$22,2,FALSE()),"")</f>
        <v>おすすめ機種</v>
      </c>
      <c r="K5" s="19" t="n">
        <f aca="false">COUNTIF(テーマ別工数分析!$B$4:$B$60,I5)</f>
        <v>1</v>
      </c>
      <c r="L5" s="16" t="n">
        <f aca="false">SUMIF(テーマ別工数分析!$B$4:$B$60,I5,テーマ別工数分析!$F$4:$F$60)</f>
        <v>4</v>
      </c>
      <c r="M5" s="16" t="n">
        <f aca="false">IF(K5=0,"",ROUND(L5/K5,1))</f>
        <v>4</v>
      </c>
      <c r="N5" s="43" t="n">
        <f aca="false">SUMIF(テーマ別工数分析!$B$4:$B$60,I5,テーマ別工数分析!$G$4:$G$60)</f>
        <v>0</v>
      </c>
      <c r="O5" s="43" t="n">
        <f aca="false">IF(L5=0,"",ROUND(N5/L5,0))</f>
        <v>0</v>
      </c>
    </row>
    <row r="6" customFormat="false" ht="15" hidden="false" customHeight="false" outlineLevel="0" collapsed="false">
      <c r="A6" s="62" t="n">
        <v>46178</v>
      </c>
      <c r="B6" s="41" t="s">
        <v>114</v>
      </c>
      <c r="C6" s="65" t="str">
        <f aca="false">IF($B6="","",IFERROR(VLOOKUP($B6,Theme_Master!$A$4:$B$22,2,FALSE()),""))</f>
        <v>リニューアルオープン</v>
      </c>
      <c r="D6" s="41"/>
      <c r="E6" s="41" t="n">
        <v>8</v>
      </c>
      <c r="F6" s="76" t="n">
        <v>12</v>
      </c>
      <c r="G6" s="15" t="n">
        <v>150000</v>
      </c>
      <c r="I6" s="77" t="s">
        <v>71</v>
      </c>
      <c r="J6" s="65" t="str">
        <f aca="false">IFERROR(VLOOKUP(I6,Theme_Master!$A$4:$B$22,2,FALSE()),"")</f>
        <v>機種訴求</v>
      </c>
      <c r="K6" s="19" t="n">
        <f aca="false">COUNTIF(テーマ別工数分析!$B$4:$B$60,I6)</f>
        <v>0</v>
      </c>
      <c r="L6" s="16" t="n">
        <f aca="false">SUMIF(テーマ別工数分析!$B$4:$B$60,I6,テーマ別工数分析!$F$4:$F$60)</f>
        <v>0</v>
      </c>
      <c r="M6" s="16" t="str">
        <f aca="false">IF(K6=0,"",ROUND(L6/K6,1))</f>
        <v/>
      </c>
      <c r="N6" s="43" t="n">
        <f aca="false">SUMIF(テーマ別工数分析!$B$4:$B$60,I6,テーマ別工数分析!$G$4:$G$60)</f>
        <v>0</v>
      </c>
      <c r="O6" s="43" t="str">
        <f aca="false">IF(L6=0,"",ROUND(N6/L6,0))</f>
        <v/>
      </c>
    </row>
    <row r="7" customFormat="false" ht="15" hidden="false" customHeight="false" outlineLevel="0" collapsed="false">
      <c r="A7" s="62" t="n">
        <v>46181</v>
      </c>
      <c r="B7" s="41" t="s">
        <v>80</v>
      </c>
      <c r="C7" s="65" t="str">
        <f aca="false">IF($B7="","",IFERROR(VLOOKUP($B7,Theme_Master!$A$4:$B$22,2,FALSE()),""))</f>
        <v>週末訴求</v>
      </c>
      <c r="D7" s="41"/>
      <c r="E7" s="41" t="n">
        <v>3</v>
      </c>
      <c r="F7" s="76" t="n">
        <v>3</v>
      </c>
      <c r="G7" s="15" t="n">
        <v>0</v>
      </c>
      <c r="I7" s="77" t="s">
        <v>74</v>
      </c>
      <c r="J7" s="65" t="str">
        <f aca="false">IFERROR(VLOOKUP(I7,Theme_Master!$A$4:$B$22,2,FALSE()),"")</f>
        <v>演者来店</v>
      </c>
      <c r="K7" s="19" t="n">
        <f aca="false">COUNTIF(テーマ別工数分析!$B$4:$B$60,I7)</f>
        <v>0</v>
      </c>
      <c r="L7" s="16" t="n">
        <f aca="false">SUMIF(テーマ別工数分析!$B$4:$B$60,I7,テーマ別工数分析!$F$4:$F$60)</f>
        <v>0</v>
      </c>
      <c r="M7" s="16" t="str">
        <f aca="false">IF(K7=0,"",ROUND(L7/K7,1))</f>
        <v/>
      </c>
      <c r="N7" s="43" t="n">
        <f aca="false">SUMIF(テーマ別工数分析!$B$4:$B$60,I7,テーマ別工数分析!$G$4:$G$60)</f>
        <v>0</v>
      </c>
      <c r="O7" s="43" t="str">
        <f aca="false">IF(L7=0,"",ROUND(N7/L7,0))</f>
        <v/>
      </c>
    </row>
    <row r="8" customFormat="false" ht="15" hidden="false" customHeight="false" outlineLevel="0" collapsed="false">
      <c r="A8" s="62" t="n">
        <v>46183</v>
      </c>
      <c r="B8" s="41" t="s">
        <v>68</v>
      </c>
      <c r="C8" s="65" t="str">
        <f aca="false">IF($B8="","",IFERROR(VLOOKUP($B8,Theme_Master!$A$4:$B$22,2,FALSE()),""))</f>
        <v>おすすめ機種</v>
      </c>
      <c r="D8" s="41"/>
      <c r="E8" s="41" t="n">
        <v>4</v>
      </c>
      <c r="F8" s="76" t="n">
        <v>4</v>
      </c>
      <c r="G8" s="15" t="n">
        <v>0</v>
      </c>
      <c r="I8" s="77" t="s">
        <v>77</v>
      </c>
      <c r="J8" s="65" t="str">
        <f aca="false">IFERROR(VLOOKUP(I8,Theme_Master!$A$4:$B$22,2,FALSE()),"")</f>
        <v>景品訴求</v>
      </c>
      <c r="K8" s="19" t="n">
        <f aca="false">COUNTIF(テーマ別工数分析!$B$4:$B$60,I8)</f>
        <v>1</v>
      </c>
      <c r="L8" s="16" t="n">
        <f aca="false">SUMIF(テーマ別工数分析!$B$4:$B$60,I8,テーマ別工数分析!$F$4:$F$60)</f>
        <v>3</v>
      </c>
      <c r="M8" s="16" t="n">
        <f aca="false">IF(K8=0,"",ROUND(L8/K8,1))</f>
        <v>3</v>
      </c>
      <c r="N8" s="43" t="n">
        <f aca="false">SUMIF(テーマ別工数分析!$B$4:$B$60,I8,テーマ別工数分析!$G$4:$G$60)</f>
        <v>0</v>
      </c>
      <c r="O8" s="43" t="n">
        <f aca="false">IF(L8=0,"",ROUND(N8/L8,0))</f>
        <v>0</v>
      </c>
    </row>
    <row r="9" customFormat="false" ht="15" hidden="false" customHeight="false" outlineLevel="0" collapsed="false">
      <c r="A9" s="62" t="n">
        <v>46188</v>
      </c>
      <c r="B9" s="41" t="s">
        <v>104</v>
      </c>
      <c r="C9" s="65" t="str">
        <f aca="false">IF($B9="","",IFERROR(VLOOKUP($B9,Theme_Master!$A$4:$B$22,2,FALSE()),""))</f>
        <v>周年</v>
      </c>
      <c r="D9" s="41"/>
      <c r="E9" s="41" t="n">
        <v>6</v>
      </c>
      <c r="F9" s="76" t="n">
        <v>9</v>
      </c>
      <c r="G9" s="15" t="n">
        <v>100000</v>
      </c>
      <c r="I9" s="77" t="s">
        <v>80</v>
      </c>
      <c r="J9" s="65" t="str">
        <f aca="false">IFERROR(VLOOKUP(I9,Theme_Master!$A$4:$B$22,2,FALSE()),"")</f>
        <v>週末訴求</v>
      </c>
      <c r="K9" s="19" t="n">
        <f aca="false">COUNTIF(テーマ別工数分析!$B$4:$B$60,I9)</f>
        <v>1</v>
      </c>
      <c r="L9" s="16" t="n">
        <f aca="false">SUMIF(テーマ別工数分析!$B$4:$B$60,I9,テーマ別工数分析!$F$4:$F$60)</f>
        <v>3</v>
      </c>
      <c r="M9" s="16" t="n">
        <f aca="false">IF(K9=0,"",ROUND(L9/K9,1))</f>
        <v>3</v>
      </c>
      <c r="N9" s="43" t="n">
        <f aca="false">SUMIF(テーマ別工数分析!$B$4:$B$60,I9,テーマ別工数分析!$G$4:$G$60)</f>
        <v>0</v>
      </c>
      <c r="O9" s="43" t="n">
        <f aca="false">IF(L9=0,"",ROUND(N9/L9,0))</f>
        <v>0</v>
      </c>
    </row>
    <row r="10" customFormat="false" ht="15" hidden="false" customHeight="false" outlineLevel="0" collapsed="false">
      <c r="A10" s="62" t="n">
        <v>46191</v>
      </c>
      <c r="B10" s="41" t="s">
        <v>77</v>
      </c>
      <c r="C10" s="65" t="str">
        <f aca="false">IF($B10="","",IFERROR(VLOOKUP($B10,Theme_Master!$A$4:$B$22,2,FALSE()),""))</f>
        <v>景品訴求</v>
      </c>
      <c r="D10" s="41"/>
      <c r="E10" s="41" t="n">
        <v>3</v>
      </c>
      <c r="F10" s="76" t="n">
        <v>3</v>
      </c>
      <c r="G10" s="15" t="n">
        <v>0</v>
      </c>
      <c r="I10" s="77" t="s">
        <v>83</v>
      </c>
      <c r="J10" s="65" t="str">
        <f aca="false">IFERROR(VLOOKUP(I10,Theme_Master!$A$4:$B$22,2,FALSE()),"")</f>
        <v>営業スケジュール</v>
      </c>
      <c r="K10" s="19" t="n">
        <f aca="false">COUNTIF(テーマ別工数分析!$B$4:$B$60,I10)</f>
        <v>2</v>
      </c>
      <c r="L10" s="16" t="n">
        <f aca="false">SUMIF(テーマ別工数分析!$B$4:$B$60,I10,テーマ別工数分析!$F$4:$F$60)</f>
        <v>4.5</v>
      </c>
      <c r="M10" s="16" t="n">
        <f aca="false">IF(K10=0,"",ROUND(L10/K10,1))</f>
        <v>2.3</v>
      </c>
      <c r="N10" s="43" t="n">
        <f aca="false">SUMIF(テーマ別工数分析!$B$4:$B$60,I10,テーマ別工数分析!$G$4:$G$60)</f>
        <v>0</v>
      </c>
      <c r="O10" s="43" t="n">
        <f aca="false">IF(L10=0,"",ROUND(N10/L10,0))</f>
        <v>0</v>
      </c>
    </row>
    <row r="11" customFormat="false" ht="15" hidden="false" customHeight="false" outlineLevel="0" collapsed="false">
      <c r="A11" s="62" t="n">
        <v>46193</v>
      </c>
      <c r="B11" s="41" t="s">
        <v>83</v>
      </c>
      <c r="C11" s="65" t="str">
        <f aca="false">IF($B11="","",IFERROR(VLOOKUP($B11,Theme_Master!$A$4:$B$22,2,FALSE()),""))</f>
        <v>営業スケジュール</v>
      </c>
      <c r="D11" s="41"/>
      <c r="E11" s="41" t="n">
        <v>2</v>
      </c>
      <c r="F11" s="76" t="n">
        <v>2.5</v>
      </c>
      <c r="G11" s="15" t="n">
        <v>0</v>
      </c>
      <c r="I11" s="77" t="s">
        <v>86</v>
      </c>
      <c r="J11" s="65" t="str">
        <f aca="false">IFERROR(VLOOKUP(I11,Theme_Master!$A$4:$B$22,2,FALSE()),"")</f>
        <v>取材レポート</v>
      </c>
      <c r="K11" s="19" t="n">
        <f aca="false">COUNTIF(テーマ別工数分析!$B$4:$B$60,I11)</f>
        <v>0</v>
      </c>
      <c r="L11" s="16" t="n">
        <f aca="false">SUMIF(テーマ別工数分析!$B$4:$B$60,I11,テーマ別工数分析!$F$4:$F$60)</f>
        <v>0</v>
      </c>
      <c r="M11" s="16" t="str">
        <f aca="false">IF(K11=0,"",ROUND(L11/K11,1))</f>
        <v/>
      </c>
      <c r="N11" s="43" t="n">
        <f aca="false">SUMIF(テーマ別工数分析!$B$4:$B$60,I11,テーマ別工数分析!$G$4:$G$60)</f>
        <v>0</v>
      </c>
      <c r="O11" s="43" t="str">
        <f aca="false">IF(L11=0,"",ROUND(N11/L11,0))</f>
        <v/>
      </c>
    </row>
    <row r="12" customFormat="false" ht="15" hidden="false" customHeight="false" outlineLevel="0" collapsed="false">
      <c r="C12" s="65" t="str">
        <f aca="false">IF($B12="","",IFERROR(VLOOKUP($B12,Theme_Master!$A$4:$B$22,2,FALSE()),""))</f>
        <v/>
      </c>
      <c r="I12" s="77" t="s">
        <v>89</v>
      </c>
      <c r="J12" s="65" t="str">
        <f aca="false">IFERROR(VLOOKUP(I12,Theme_Master!$A$4:$B$22,2,FALSE()),"")</f>
        <v>付加価値訴求</v>
      </c>
      <c r="K12" s="19" t="n">
        <f aca="false">COUNTIF(テーマ別工数分析!$B$4:$B$60,I12)</f>
        <v>0</v>
      </c>
      <c r="L12" s="16" t="n">
        <f aca="false">SUMIF(テーマ別工数分析!$B$4:$B$60,I12,テーマ別工数分析!$F$4:$F$60)</f>
        <v>0</v>
      </c>
      <c r="M12" s="16" t="str">
        <f aca="false">IF(K12=0,"",ROUND(L12/K12,1))</f>
        <v/>
      </c>
      <c r="N12" s="43" t="n">
        <f aca="false">SUMIF(テーマ別工数分析!$B$4:$B$60,I12,テーマ別工数分析!$G$4:$G$60)</f>
        <v>0</v>
      </c>
      <c r="O12" s="43" t="str">
        <f aca="false">IF(L12=0,"",ROUND(N12/L12,0))</f>
        <v/>
      </c>
    </row>
    <row r="13" customFormat="false" ht="15" hidden="false" customHeight="false" outlineLevel="0" collapsed="false">
      <c r="C13" s="65" t="str">
        <f aca="false">IF($B13="","",IFERROR(VLOOKUP($B13,Theme_Master!$A$4:$B$22,2,FALSE()),""))</f>
        <v/>
      </c>
      <c r="I13" s="77" t="s">
        <v>92</v>
      </c>
      <c r="J13" s="65" t="str">
        <f aca="false">IFERROR(VLOOKUP(I13,Theme_Master!$A$4:$B$22,2,FALSE()),"")</f>
        <v>会員募集</v>
      </c>
      <c r="K13" s="19" t="n">
        <f aca="false">COUNTIF(テーマ別工数分析!$B$4:$B$60,I13)</f>
        <v>0</v>
      </c>
      <c r="L13" s="16" t="n">
        <f aca="false">SUMIF(テーマ別工数分析!$B$4:$B$60,I13,テーマ別工数分析!$F$4:$F$60)</f>
        <v>0</v>
      </c>
      <c r="M13" s="16" t="str">
        <f aca="false">IF(K13=0,"",ROUND(L13/K13,1))</f>
        <v/>
      </c>
      <c r="N13" s="43" t="n">
        <f aca="false">SUMIF(テーマ別工数分析!$B$4:$B$60,I13,テーマ別工数分析!$G$4:$G$60)</f>
        <v>0</v>
      </c>
      <c r="O13" s="43" t="str">
        <f aca="false">IF(L13=0,"",ROUND(N13/L13,0))</f>
        <v/>
      </c>
    </row>
    <row r="14" customFormat="false" ht="15" hidden="false" customHeight="false" outlineLevel="0" collapsed="false">
      <c r="C14" s="65" t="str">
        <f aca="false">IF($B14="","",IFERROR(VLOOKUP($B14,Theme_Master!$A$4:$B$22,2,FALSE()),""))</f>
        <v/>
      </c>
      <c r="I14" s="77" t="s">
        <v>95</v>
      </c>
      <c r="J14" s="65" t="str">
        <f aca="false">IFERROR(VLOOKUP(I14,Theme_Master!$A$4:$B$22,2,FALSE()),"")</f>
        <v>店舗設備訴求</v>
      </c>
      <c r="K14" s="19" t="n">
        <f aca="false">COUNTIF(テーマ別工数分析!$B$4:$B$60,I14)</f>
        <v>0</v>
      </c>
      <c r="L14" s="16" t="n">
        <f aca="false">SUMIF(テーマ別工数分析!$B$4:$B$60,I14,テーマ別工数分析!$F$4:$F$60)</f>
        <v>0</v>
      </c>
      <c r="M14" s="16" t="str">
        <f aca="false">IF(K14=0,"",ROUND(L14/K14,1))</f>
        <v/>
      </c>
      <c r="N14" s="43" t="n">
        <f aca="false">SUMIF(テーマ別工数分析!$B$4:$B$60,I14,テーマ別工数分析!$G$4:$G$60)</f>
        <v>0</v>
      </c>
      <c r="O14" s="43" t="str">
        <f aca="false">IF(L14=0,"",ROUND(N14/L14,0))</f>
        <v/>
      </c>
    </row>
    <row r="15" customFormat="false" ht="15" hidden="false" customHeight="false" outlineLevel="0" collapsed="false">
      <c r="C15" s="65" t="str">
        <f aca="false">IF($B15="","",IFERROR(VLOOKUP($B15,Theme_Master!$A$4:$B$22,2,FALSE()),""))</f>
        <v/>
      </c>
      <c r="I15" s="77" t="s">
        <v>98</v>
      </c>
      <c r="J15" s="65" t="str">
        <f aca="false">IFERROR(VLOOKUP(I15,Theme_Master!$A$4:$B$22,2,FALSE()),"")</f>
        <v>貯玉・再プレイ訴求</v>
      </c>
      <c r="K15" s="19" t="n">
        <f aca="false">COUNTIF(テーマ別工数分析!$B$4:$B$60,I15)</f>
        <v>0</v>
      </c>
      <c r="L15" s="16" t="n">
        <f aca="false">SUMIF(テーマ別工数分析!$B$4:$B$60,I15,テーマ別工数分析!$F$4:$F$60)</f>
        <v>0</v>
      </c>
      <c r="M15" s="16" t="str">
        <f aca="false">IF(K15=0,"",ROUND(L15/K15,1))</f>
        <v/>
      </c>
      <c r="N15" s="43" t="n">
        <f aca="false">SUMIF(テーマ別工数分析!$B$4:$B$60,I15,テーマ別工数分析!$G$4:$G$60)</f>
        <v>0</v>
      </c>
      <c r="O15" s="43" t="str">
        <f aca="false">IF(L15=0,"",ROUND(N15/L15,0))</f>
        <v/>
      </c>
    </row>
    <row r="16" customFormat="false" ht="15" hidden="false" customHeight="false" outlineLevel="0" collapsed="false">
      <c r="C16" s="65" t="str">
        <f aca="false">IF($B16="","",IFERROR(VLOOKUP($B16,Theme_Master!$A$4:$B$22,2,FALSE()),""))</f>
        <v/>
      </c>
      <c r="I16" s="77" t="s">
        <v>101</v>
      </c>
      <c r="J16" s="65" t="str">
        <f aca="false">IFERROR(VLOOKUP(I16,Theme_Master!$A$4:$B$22,2,FALSE()),"")</f>
        <v>店舗人事告知</v>
      </c>
      <c r="K16" s="19" t="n">
        <f aca="false">COUNTIF(テーマ別工数分析!$B$4:$B$60,I16)</f>
        <v>0</v>
      </c>
      <c r="L16" s="16" t="n">
        <f aca="false">SUMIF(テーマ別工数分析!$B$4:$B$60,I16,テーマ別工数分析!$F$4:$F$60)</f>
        <v>0</v>
      </c>
      <c r="M16" s="16" t="str">
        <f aca="false">IF(K16=0,"",ROUND(L16/K16,1))</f>
        <v/>
      </c>
      <c r="N16" s="43" t="n">
        <f aca="false">SUMIF(テーマ別工数分析!$B$4:$B$60,I16,テーマ別工数分析!$G$4:$G$60)</f>
        <v>0</v>
      </c>
      <c r="O16" s="43" t="str">
        <f aca="false">IF(L16=0,"",ROUND(N16/L16,0))</f>
        <v/>
      </c>
    </row>
    <row r="17" customFormat="false" ht="15" hidden="false" customHeight="false" outlineLevel="0" collapsed="false">
      <c r="C17" s="65" t="str">
        <f aca="false">IF($B17="","",IFERROR(VLOOKUP($B17,Theme_Master!$A$4:$B$22,2,FALSE()),""))</f>
        <v/>
      </c>
      <c r="I17" s="77" t="s">
        <v>104</v>
      </c>
      <c r="J17" s="65" t="str">
        <f aca="false">IFERROR(VLOOKUP(I17,Theme_Master!$A$4:$B$22,2,FALSE()),"")</f>
        <v>周年</v>
      </c>
      <c r="K17" s="19" t="n">
        <f aca="false">COUNTIF(テーマ別工数分析!$B$4:$B$60,I17)</f>
        <v>1</v>
      </c>
      <c r="L17" s="16" t="n">
        <f aca="false">SUMIF(テーマ別工数分析!$B$4:$B$60,I17,テーマ別工数分析!$F$4:$F$60)</f>
        <v>9</v>
      </c>
      <c r="M17" s="16" t="n">
        <f aca="false">IF(K17=0,"",ROUND(L17/K17,1))</f>
        <v>9</v>
      </c>
      <c r="N17" s="43" t="n">
        <f aca="false">SUMIF(テーマ別工数分析!$B$4:$B$60,I17,テーマ別工数分析!$G$4:$G$60)</f>
        <v>100000</v>
      </c>
      <c r="O17" s="43" t="n">
        <f aca="false">IF(L17=0,"",ROUND(N17/L17,0))</f>
        <v>11111</v>
      </c>
    </row>
    <row r="18" customFormat="false" ht="15" hidden="false" customHeight="false" outlineLevel="0" collapsed="false">
      <c r="C18" s="65" t="str">
        <f aca="false">IF($B18="","",IFERROR(VLOOKUP($B18,Theme_Master!$A$4:$B$22,2,FALSE()),""))</f>
        <v/>
      </c>
      <c r="I18" s="77" t="s">
        <v>108</v>
      </c>
      <c r="J18" s="65" t="str">
        <f aca="false">IFERROR(VLOOKUP(I18,Theme_Master!$A$4:$B$22,2,FALSE()),"")</f>
        <v>創業祭</v>
      </c>
      <c r="K18" s="19" t="n">
        <f aca="false">COUNTIF(テーマ別工数分析!$B$4:$B$60,I18)</f>
        <v>0</v>
      </c>
      <c r="L18" s="16" t="n">
        <f aca="false">SUMIF(テーマ別工数分析!$B$4:$B$60,I18,テーマ別工数分析!$F$4:$F$60)</f>
        <v>0</v>
      </c>
      <c r="M18" s="16" t="str">
        <f aca="false">IF(K18=0,"",ROUND(L18/K18,1))</f>
        <v/>
      </c>
      <c r="N18" s="43" t="n">
        <f aca="false">SUMIF(テーマ別工数分析!$B$4:$B$60,I18,テーマ別工数分析!$G$4:$G$60)</f>
        <v>0</v>
      </c>
      <c r="O18" s="43" t="str">
        <f aca="false">IF(L18=0,"",ROUND(N18/L18,0))</f>
        <v/>
      </c>
    </row>
    <row r="19" customFormat="false" ht="15" hidden="false" customHeight="false" outlineLevel="0" collapsed="false">
      <c r="C19" s="65" t="str">
        <f aca="false">IF($B19="","",IFERROR(VLOOKUP($B19,Theme_Master!$A$4:$B$22,2,FALSE()),""))</f>
        <v/>
      </c>
      <c r="I19" s="77" t="s">
        <v>111</v>
      </c>
      <c r="J19" s="65" t="str">
        <f aca="false">IFERROR(VLOOKUP(I19,Theme_Master!$A$4:$B$22,2,FALSE()),"")</f>
        <v>リフレッシュオープン</v>
      </c>
      <c r="K19" s="19" t="n">
        <f aca="false">COUNTIF(テーマ別工数分析!$B$4:$B$60,I19)</f>
        <v>0</v>
      </c>
      <c r="L19" s="16" t="n">
        <f aca="false">SUMIF(テーマ別工数分析!$B$4:$B$60,I19,テーマ別工数分析!$F$4:$F$60)</f>
        <v>0</v>
      </c>
      <c r="M19" s="16" t="str">
        <f aca="false">IF(K19=0,"",ROUND(L19/K19,1))</f>
        <v/>
      </c>
      <c r="N19" s="43" t="n">
        <f aca="false">SUMIF(テーマ別工数分析!$B$4:$B$60,I19,テーマ別工数分析!$G$4:$G$60)</f>
        <v>0</v>
      </c>
      <c r="O19" s="43" t="str">
        <f aca="false">IF(L19=0,"",ROUND(N19/L19,0))</f>
        <v/>
      </c>
    </row>
    <row r="20" customFormat="false" ht="15" hidden="false" customHeight="false" outlineLevel="0" collapsed="false">
      <c r="C20" s="65" t="str">
        <f aca="false">IF($B20="","",IFERROR(VLOOKUP($B20,Theme_Master!$A$4:$B$22,2,FALSE()),""))</f>
        <v/>
      </c>
      <c r="I20" s="77" t="s">
        <v>114</v>
      </c>
      <c r="J20" s="65" t="str">
        <f aca="false">IFERROR(VLOOKUP(I20,Theme_Master!$A$4:$B$22,2,FALSE()),"")</f>
        <v>リニューアルオープン</v>
      </c>
      <c r="K20" s="19" t="n">
        <f aca="false">COUNTIF(テーマ別工数分析!$B$4:$B$60,I20)</f>
        <v>1</v>
      </c>
      <c r="L20" s="16" t="n">
        <f aca="false">SUMIF(テーマ別工数分析!$B$4:$B$60,I20,テーマ別工数分析!$F$4:$F$60)</f>
        <v>12</v>
      </c>
      <c r="M20" s="16" t="n">
        <f aca="false">IF(K20=0,"",ROUND(L20/K20,1))</f>
        <v>12</v>
      </c>
      <c r="N20" s="43" t="n">
        <f aca="false">SUMIF(テーマ別工数分析!$B$4:$B$60,I20,テーマ別工数分析!$G$4:$G$60)</f>
        <v>150000</v>
      </c>
      <c r="O20" s="43" t="n">
        <f aca="false">IF(L20=0,"",ROUND(N20/L20,0))</f>
        <v>12500</v>
      </c>
    </row>
    <row r="21" customFormat="false" ht="15" hidden="false" customHeight="false" outlineLevel="0" collapsed="false">
      <c r="C21" s="65" t="str">
        <f aca="false">IF($B21="","",IFERROR(VLOOKUP($B21,Theme_Master!$A$4:$B$22,2,FALSE()),""))</f>
        <v/>
      </c>
      <c r="I21" s="77" t="s">
        <v>117</v>
      </c>
      <c r="J21" s="65" t="str">
        <f aca="false">IFERROR(VLOOKUP(I21,Theme_Master!$A$4:$B$22,2,FALSE()),"")</f>
        <v>グランドオープン</v>
      </c>
      <c r="K21" s="19" t="n">
        <f aca="false">COUNTIF(テーマ別工数分析!$B$4:$B$60,I21)</f>
        <v>0</v>
      </c>
      <c r="L21" s="16" t="n">
        <f aca="false">SUMIF(テーマ別工数分析!$B$4:$B$60,I21,テーマ別工数分析!$F$4:$F$60)</f>
        <v>0</v>
      </c>
      <c r="M21" s="16" t="str">
        <f aca="false">IF(K21=0,"",ROUND(L21/K21,1))</f>
        <v/>
      </c>
      <c r="N21" s="43" t="n">
        <f aca="false">SUMIF(テーマ別工数分析!$B$4:$B$60,I21,テーマ別工数分析!$G$4:$G$60)</f>
        <v>0</v>
      </c>
      <c r="O21" s="43" t="str">
        <f aca="false">IF(L21=0,"",ROUND(N21/L21,0))</f>
        <v/>
      </c>
    </row>
    <row r="22" customFormat="false" ht="15" hidden="false" customHeight="false" outlineLevel="0" collapsed="false">
      <c r="C22" s="65" t="str">
        <f aca="false">IF($B22="","",IFERROR(VLOOKUP($B22,Theme_Master!$A$4:$B$22,2,FALSE()),""))</f>
        <v/>
      </c>
      <c r="I22" s="77" t="s">
        <v>120</v>
      </c>
      <c r="J22" s="65" t="str">
        <f aca="false">IFERROR(VLOOKUP(I22,Theme_Master!$A$4:$B$22,2,FALSE()),"")</f>
        <v>特注案件</v>
      </c>
      <c r="K22" s="19" t="n">
        <f aca="false">COUNTIF(テーマ別工数分析!$B$4:$B$60,I22)</f>
        <v>0</v>
      </c>
      <c r="L22" s="16" t="n">
        <f aca="false">SUMIF(テーマ別工数分析!$B$4:$B$60,I22,テーマ別工数分析!$F$4:$F$60)</f>
        <v>0</v>
      </c>
      <c r="M22" s="16" t="str">
        <f aca="false">IF(K22=0,"",ROUND(L22/K22,1))</f>
        <v/>
      </c>
      <c r="N22" s="43" t="n">
        <f aca="false">SUMIF(テーマ別工数分析!$B$4:$B$60,I22,テーマ別工数分析!$G$4:$G$60)</f>
        <v>0</v>
      </c>
      <c r="O22" s="43" t="str">
        <f aca="false">IF(L22=0,"",ROUND(N22/L22,0))</f>
        <v/>
      </c>
    </row>
    <row r="23" customFormat="false" ht="15" hidden="false" customHeight="false" outlineLevel="0" collapsed="false">
      <c r="C23" s="65" t="str">
        <f aca="false">IF($B23="","",IFERROR(VLOOKUP($B23,Theme_Master!$A$4:$B$22,2,FALSE()),""))</f>
        <v/>
      </c>
    </row>
    <row r="24" customFormat="false" ht="15" hidden="false" customHeight="false" outlineLevel="0" collapsed="false">
      <c r="C24" s="65" t="str">
        <f aca="false">IF($B24="","",IFERROR(VLOOKUP($B24,Theme_Master!$A$4:$B$22,2,FALSE()),""))</f>
        <v/>
      </c>
    </row>
    <row r="25" customFormat="false" ht="15" hidden="false" customHeight="false" outlineLevel="0" collapsed="false">
      <c r="C25" s="65" t="str">
        <f aca="false">IF($B25="","",IFERROR(VLOOKUP($B25,Theme_Master!$A$4:$B$22,2,FALSE()),""))</f>
        <v/>
      </c>
    </row>
    <row r="26" customFormat="false" ht="15" hidden="false" customHeight="false" outlineLevel="0" collapsed="false">
      <c r="C26" s="65" t="str">
        <f aca="false">IF($B26="","",IFERROR(VLOOKUP($B26,Theme_Master!$A$4:$B$22,2,FALSE()),""))</f>
        <v/>
      </c>
    </row>
    <row r="27" customFormat="false" ht="15" hidden="false" customHeight="false" outlineLevel="0" collapsed="false">
      <c r="C27" s="65" t="str">
        <f aca="false">IF($B27="","",IFERROR(VLOOKUP($B27,Theme_Master!$A$4:$B$22,2,FALSE()),""))</f>
        <v/>
      </c>
    </row>
    <row r="28" customFormat="false" ht="15" hidden="false" customHeight="false" outlineLevel="0" collapsed="false">
      <c r="C28" s="65" t="str">
        <f aca="false">IF($B28="","",IFERROR(VLOOKUP($B28,Theme_Master!$A$4:$B$22,2,FALSE()),""))</f>
        <v/>
      </c>
    </row>
    <row r="29" customFormat="false" ht="15" hidden="false" customHeight="false" outlineLevel="0" collapsed="false">
      <c r="C29" s="65" t="str">
        <f aca="false">IF($B29="","",IFERROR(VLOOKUP($B29,Theme_Master!$A$4:$B$22,2,FALSE()),""))</f>
        <v/>
      </c>
    </row>
    <row r="30" customFormat="false" ht="15" hidden="false" customHeight="false" outlineLevel="0" collapsed="false">
      <c r="C30" s="65" t="str">
        <f aca="false">IF($B30="","",IFERROR(VLOOKUP($B30,Theme_Master!$A$4:$B$22,2,FALSE()),""))</f>
        <v/>
      </c>
    </row>
    <row r="31" customFormat="false" ht="15" hidden="false" customHeight="false" outlineLevel="0" collapsed="false">
      <c r="C31" s="65" t="str">
        <f aca="false">IF($B31="","",IFERROR(VLOOKUP($B31,Theme_Master!$A$4:$B$22,2,FALSE()),""))</f>
        <v/>
      </c>
    </row>
    <row r="32" customFormat="false" ht="15" hidden="false" customHeight="false" outlineLevel="0" collapsed="false">
      <c r="C32" s="65" t="str">
        <f aca="false">IF($B32="","",IFERROR(VLOOKUP($B32,Theme_Master!$A$4:$B$22,2,FALSE()),""))</f>
        <v/>
      </c>
    </row>
    <row r="33" customFormat="false" ht="15" hidden="false" customHeight="false" outlineLevel="0" collapsed="false">
      <c r="C33" s="65" t="str">
        <f aca="false">IF($B33="","",IFERROR(VLOOKUP($B33,Theme_Master!$A$4:$B$22,2,FALSE()),""))</f>
        <v/>
      </c>
    </row>
    <row r="34" customFormat="false" ht="15" hidden="false" customHeight="false" outlineLevel="0" collapsed="false">
      <c r="C34" s="65" t="str">
        <f aca="false">IF($B34="","",IFERROR(VLOOKUP($B34,Theme_Master!$A$4:$B$22,2,FALSE()),""))</f>
        <v/>
      </c>
    </row>
    <row r="35" customFormat="false" ht="15" hidden="false" customHeight="false" outlineLevel="0" collapsed="false">
      <c r="C35" s="65" t="str">
        <f aca="false">IF($B35="","",IFERROR(VLOOKUP($B35,Theme_Master!$A$4:$B$22,2,FALSE()),""))</f>
        <v/>
      </c>
    </row>
    <row r="36" customFormat="false" ht="15" hidden="false" customHeight="false" outlineLevel="0" collapsed="false">
      <c r="C36" s="65" t="str">
        <f aca="false">IF($B36="","",IFERROR(VLOOKUP($B36,Theme_Master!$A$4:$B$22,2,FALSE()),""))</f>
        <v/>
      </c>
    </row>
    <row r="37" customFormat="false" ht="15" hidden="false" customHeight="false" outlineLevel="0" collapsed="false">
      <c r="C37" s="65" t="str">
        <f aca="false">IF($B37="","",IFERROR(VLOOKUP($B37,Theme_Master!$A$4:$B$22,2,FALSE()),""))</f>
        <v/>
      </c>
    </row>
    <row r="38" customFormat="false" ht="15" hidden="false" customHeight="false" outlineLevel="0" collapsed="false">
      <c r="C38" s="65" t="str">
        <f aca="false">IF($B38="","",IFERROR(VLOOKUP($B38,Theme_Master!$A$4:$B$22,2,FALSE()),""))</f>
        <v/>
      </c>
    </row>
    <row r="39" customFormat="false" ht="15" hidden="false" customHeight="false" outlineLevel="0" collapsed="false">
      <c r="C39" s="65" t="str">
        <f aca="false">IF($B39="","",IFERROR(VLOOKUP($B39,Theme_Master!$A$4:$B$22,2,FALSE()),""))</f>
        <v/>
      </c>
    </row>
    <row r="40" customFormat="false" ht="15" hidden="false" customHeight="false" outlineLevel="0" collapsed="false">
      <c r="C40" s="65" t="str">
        <f aca="false">IF($B40="","",IFERROR(VLOOKUP($B40,Theme_Master!$A$4:$B$22,2,FALSE()),""))</f>
        <v/>
      </c>
    </row>
    <row r="41" customFormat="false" ht="15" hidden="false" customHeight="false" outlineLevel="0" collapsed="false">
      <c r="C41" s="65" t="str">
        <f aca="false">IF($B41="","",IFERROR(VLOOKUP($B41,Theme_Master!$A$4:$B$22,2,FALSE()),""))</f>
        <v/>
      </c>
    </row>
    <row r="42" customFormat="false" ht="15" hidden="false" customHeight="false" outlineLevel="0" collapsed="false">
      <c r="C42" s="65" t="str">
        <f aca="false">IF($B42="","",IFERROR(VLOOKUP($B42,Theme_Master!$A$4:$B$22,2,FALSE()),""))</f>
        <v/>
      </c>
    </row>
    <row r="43" customFormat="false" ht="15" hidden="false" customHeight="false" outlineLevel="0" collapsed="false">
      <c r="C43" s="65" t="str">
        <f aca="false">IF($B43="","",IFERROR(VLOOKUP($B43,Theme_Master!$A$4:$B$22,2,FALSE()),""))</f>
        <v/>
      </c>
    </row>
    <row r="44" customFormat="false" ht="15" hidden="false" customHeight="false" outlineLevel="0" collapsed="false">
      <c r="C44" s="65" t="str">
        <f aca="false">IF($B44="","",IFERROR(VLOOKUP($B44,Theme_Master!$A$4:$B$22,2,FALSE()),""))</f>
        <v/>
      </c>
    </row>
    <row r="45" customFormat="false" ht="15" hidden="false" customHeight="false" outlineLevel="0" collapsed="false">
      <c r="C45" s="65" t="str">
        <f aca="false">IF($B45="","",IFERROR(VLOOKUP($B45,Theme_Master!$A$4:$B$22,2,FALSE()),""))</f>
        <v/>
      </c>
    </row>
    <row r="46" customFormat="false" ht="15" hidden="false" customHeight="false" outlineLevel="0" collapsed="false">
      <c r="C46" s="65" t="str">
        <f aca="false">IF($B46="","",IFERROR(VLOOKUP($B46,Theme_Master!$A$4:$B$22,2,FALSE()),""))</f>
        <v/>
      </c>
    </row>
    <row r="47" customFormat="false" ht="15" hidden="false" customHeight="false" outlineLevel="0" collapsed="false">
      <c r="C47" s="65" t="str">
        <f aca="false">IF($B47="","",IFERROR(VLOOKUP($B47,Theme_Master!$A$4:$B$22,2,FALSE()),""))</f>
        <v/>
      </c>
    </row>
    <row r="48" customFormat="false" ht="15" hidden="false" customHeight="false" outlineLevel="0" collapsed="false">
      <c r="C48" s="65" t="str">
        <f aca="false">IF($B48="","",IFERROR(VLOOKUP($B48,Theme_Master!$A$4:$B$22,2,FALSE()),""))</f>
        <v/>
      </c>
    </row>
    <row r="49" customFormat="false" ht="15" hidden="false" customHeight="false" outlineLevel="0" collapsed="false">
      <c r="C49" s="65" t="str">
        <f aca="false">IF($B49="","",IFERROR(VLOOKUP($B49,Theme_Master!$A$4:$B$22,2,FALSE()),""))</f>
        <v/>
      </c>
    </row>
    <row r="50" customFormat="false" ht="15" hidden="false" customHeight="false" outlineLevel="0" collapsed="false">
      <c r="C50" s="65" t="str">
        <f aca="false">IF($B50="","",IFERROR(VLOOKUP($B50,Theme_Master!$A$4:$B$22,2,FALSE()),""))</f>
        <v/>
      </c>
    </row>
    <row r="51" customFormat="false" ht="15" hidden="false" customHeight="false" outlineLevel="0" collapsed="false">
      <c r="C51" s="65" t="str">
        <f aca="false">IF($B51="","",IFERROR(VLOOKUP($B51,Theme_Master!$A$4:$B$22,2,FALSE()),""))</f>
        <v/>
      </c>
    </row>
    <row r="52" customFormat="false" ht="15" hidden="false" customHeight="false" outlineLevel="0" collapsed="false">
      <c r="C52" s="65" t="str">
        <f aca="false">IF($B52="","",IFERROR(VLOOKUP($B52,Theme_Master!$A$4:$B$22,2,FALSE()),""))</f>
        <v/>
      </c>
    </row>
    <row r="53" customFormat="false" ht="15" hidden="false" customHeight="false" outlineLevel="0" collapsed="false">
      <c r="C53" s="65" t="str">
        <f aca="false">IF($B53="","",IFERROR(VLOOKUP($B53,Theme_Master!$A$4:$B$22,2,FALSE()),""))</f>
        <v/>
      </c>
    </row>
    <row r="54" customFormat="false" ht="15" hidden="false" customHeight="false" outlineLevel="0" collapsed="false">
      <c r="C54" s="65" t="str">
        <f aca="false">IF($B54="","",IFERROR(VLOOKUP($B54,Theme_Master!$A$4:$B$22,2,FALSE()),""))</f>
        <v/>
      </c>
    </row>
    <row r="55" customFormat="false" ht="15" hidden="false" customHeight="false" outlineLevel="0" collapsed="false">
      <c r="C55" s="65" t="str">
        <f aca="false">IF($B55="","",IFERROR(VLOOKUP($B55,Theme_Master!$A$4:$B$22,2,FALSE()),""))</f>
        <v/>
      </c>
    </row>
    <row r="56" customFormat="false" ht="15" hidden="false" customHeight="false" outlineLevel="0" collapsed="false">
      <c r="C56" s="65" t="str">
        <f aca="false">IF($B56="","",IFERROR(VLOOKUP($B56,Theme_Master!$A$4:$B$22,2,FALSE()),""))</f>
        <v/>
      </c>
    </row>
    <row r="57" customFormat="false" ht="15" hidden="false" customHeight="false" outlineLevel="0" collapsed="false">
      <c r="C57" s="65" t="str">
        <f aca="false">IF($B57="","",IFERROR(VLOOKUP($B57,Theme_Master!$A$4:$B$22,2,FALSE()),""))</f>
        <v/>
      </c>
    </row>
    <row r="58" customFormat="false" ht="15" hidden="false" customHeight="false" outlineLevel="0" collapsed="false">
      <c r="C58" s="65" t="str">
        <f aca="false">IF($B58="","",IFERROR(VLOOKUP($B58,Theme_Master!$A$4:$B$22,2,FALSE()),""))</f>
        <v/>
      </c>
    </row>
    <row r="59" customFormat="false" ht="15" hidden="false" customHeight="false" outlineLevel="0" collapsed="false">
      <c r="C59" s="65" t="str">
        <f aca="false">IF($B59="","",IFERROR(VLOOKUP($B59,Theme_Master!$A$4:$B$22,2,FALSE()),""))</f>
        <v/>
      </c>
    </row>
    <row r="60" customFormat="false" ht="15" hidden="false" customHeight="false" outlineLevel="0" collapsed="false">
      <c r="C60" s="65" t="str">
        <f aca="false">IF($B60="","",IFERROR(VLOOKUP($B60,Theme_Master!$A$4:$B$22,2,FALSE()),""))</f>
        <v/>
      </c>
    </row>
  </sheetData>
  <conditionalFormatting sqref="L4:L22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{449214B9-F9F0-4219-AD73-C55F9965585C}</x14:id>
        </ext>
      </extLst>
    </cfRule>
  </conditionalFormatting>
  <dataValidations count="1">
    <dataValidation allowBlank="true" errorStyle="stop" operator="between" showDropDown="false" showErrorMessage="false" showInputMessage="false" sqref="B4:B60" type="list">
      <formula1>Theme_Master!$A$4:$A$22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9214B9-F9F0-4219-AD73-C55F9965585C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L4:L22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0"/>
  </cols>
  <sheetData>
    <row r="1" customFormat="false" ht="17.35" hidden="false" customHeight="false" outlineLevel="0" collapsed="false">
      <c r="A1" s="74" t="s">
        <v>404</v>
      </c>
    </row>
    <row r="2" customFormat="false" ht="17.15" hidden="false" customHeight="false" outlineLevel="0" collapsed="false">
      <c r="A2" s="11" t="s">
        <v>405</v>
      </c>
    </row>
    <row r="3" customFormat="false" ht="15" hidden="false" customHeight="false" outlineLevel="0" collapsed="false">
      <c r="A3" s="78" t="s">
        <v>406</v>
      </c>
      <c r="B3" s="79"/>
      <c r="C3" s="79"/>
      <c r="D3" s="79"/>
      <c r="E3" s="79"/>
      <c r="F3" s="79"/>
      <c r="G3" s="79"/>
      <c r="H3" s="79"/>
    </row>
    <row r="4" customFormat="false" ht="17.15" hidden="false" customHeight="false" outlineLevel="0" collapsed="false">
      <c r="A4" s="12" t="s">
        <v>407</v>
      </c>
      <c r="B4" s="12"/>
      <c r="C4" s="12" t="s">
        <v>399</v>
      </c>
      <c r="D4" s="12" t="s">
        <v>408</v>
      </c>
      <c r="E4" s="12" t="s">
        <v>326</v>
      </c>
      <c r="F4" s="12" t="s">
        <v>328</v>
      </c>
      <c r="G4" s="12" t="s">
        <v>329</v>
      </c>
      <c r="H4" s="12"/>
    </row>
    <row r="5" customFormat="false" ht="15" hidden="false" customHeight="false" outlineLevel="0" collapsed="false">
      <c r="A5" s="80" t="s">
        <v>37</v>
      </c>
      <c r="C5" s="19" t="n">
        <f aca="false">COUNTIFS(案件別収益!$F$4:$F$60,"リテイナー",案件別収益!$U$4:$U$60,"ライト")</f>
        <v>1</v>
      </c>
      <c r="D5" s="43" t="n">
        <f aca="false">SUMIFS(案件別収益!$J$4:$J$60,案件別収益!$F$4:$F$60,"リテイナー",案件別収益!$U$4:$U$60,"ライト")</f>
        <v>60000</v>
      </c>
      <c r="E5" s="43" t="n">
        <f aca="false">SUMIFS(案件別収益!$K$4:$K$60,案件別収益!$F$4:$F$60,"リテイナー",案件別収益!$U$4:$U$60,"ライト")</f>
        <v>0</v>
      </c>
      <c r="F5" s="43" t="n">
        <f aca="false">D5-E5</f>
        <v>60000</v>
      </c>
      <c r="G5" s="64" t="n">
        <f aca="false">IF(D5=0,"",F5/D5)</f>
        <v>1</v>
      </c>
    </row>
    <row r="6" customFormat="false" ht="15" hidden="false" customHeight="false" outlineLevel="0" collapsed="false">
      <c r="A6" s="80" t="s">
        <v>38</v>
      </c>
      <c r="C6" s="19" t="n">
        <f aca="false">COUNTIFS(案件別収益!$F$4:$F$60,"リテイナー",案件別収益!$U$4:$U$60,"スタンダード")</f>
        <v>2</v>
      </c>
      <c r="D6" s="43" t="n">
        <f aca="false">SUMIFS(案件別収益!$J$4:$J$60,案件別収益!$F$4:$F$60,"リテイナー",案件別収益!$U$4:$U$60,"スタンダード")</f>
        <v>200000</v>
      </c>
      <c r="E6" s="43" t="n">
        <f aca="false">SUMIFS(案件別収益!$K$4:$K$60,案件別収益!$F$4:$F$60,"リテイナー",案件別収益!$U$4:$U$60,"スタンダード")</f>
        <v>0</v>
      </c>
      <c r="F6" s="43" t="n">
        <f aca="false">D6-E6</f>
        <v>200000</v>
      </c>
      <c r="G6" s="64" t="n">
        <f aca="false">IF(D6=0,"",F6/D6)</f>
        <v>1</v>
      </c>
    </row>
    <row r="7" customFormat="false" ht="15" hidden="false" customHeight="false" outlineLevel="0" collapsed="false">
      <c r="A7" s="80" t="s">
        <v>39</v>
      </c>
      <c r="C7" s="19" t="n">
        <f aca="false">COUNTIFS(案件別収益!$F$4:$F$60,"リテイナー",案件別収益!$U$4:$U$60,"プレミアム")</f>
        <v>2</v>
      </c>
      <c r="D7" s="43" t="n">
        <f aca="false">SUMIFS(案件別収益!$J$4:$J$60,案件別収益!$F$4:$F$60,"リテイナー",案件別収益!$U$4:$U$60,"プレミアム")</f>
        <v>320000</v>
      </c>
      <c r="E7" s="43" t="n">
        <f aca="false">SUMIFS(案件別収益!$K$4:$K$60,案件別収益!$F$4:$F$60,"リテイナー",案件別収益!$U$4:$U$60,"プレミアム")</f>
        <v>0</v>
      </c>
      <c r="F7" s="43" t="n">
        <f aca="false">D7-E7</f>
        <v>320000</v>
      </c>
      <c r="G7" s="64" t="n">
        <f aca="false">IF(D7=0,"",F7/D7)</f>
        <v>1</v>
      </c>
    </row>
    <row r="8" customFormat="false" ht="15" hidden="false" customHeight="false" outlineLevel="0" collapsed="false">
      <c r="A8" s="80" t="s">
        <v>409</v>
      </c>
      <c r="C8" s="19" t="n">
        <f aca="false">COUNTIFS(案件別収益!$F$4:$F$60,"スポット")</f>
        <v>2</v>
      </c>
      <c r="D8" s="43" t="n">
        <f aca="false">SUMIFS(案件別収益!$J$4:$J$60,案件別収益!$F$4:$F$60,"スポット")</f>
        <v>250000</v>
      </c>
      <c r="E8" s="43" t="n">
        <f aca="false">SUMIFS(案件別収益!$K$4:$K$60,案件別収益!$F$4:$F$60,"スポット")</f>
        <v>22000</v>
      </c>
      <c r="F8" s="43" t="n">
        <f aca="false">D8-E8</f>
        <v>228000</v>
      </c>
      <c r="G8" s="64" t="n">
        <f aca="false">IF(D8=0,"",F8/D8)</f>
        <v>0.912</v>
      </c>
    </row>
    <row r="10" customFormat="false" ht="17.15" hidden="false" customHeight="false" outlineLevel="0" collapsed="false">
      <c r="A10" s="81" t="s">
        <v>410</v>
      </c>
      <c r="B10" s="79"/>
      <c r="C10" s="79"/>
      <c r="D10" s="79"/>
      <c r="E10" s="79"/>
      <c r="F10" s="79"/>
      <c r="G10" s="79"/>
      <c r="H10" s="79"/>
    </row>
    <row r="11" customFormat="false" ht="17.15" hidden="false" customHeight="false" outlineLevel="0" collapsed="false">
      <c r="A11" s="18" t="s">
        <v>60</v>
      </c>
      <c r="B11" s="12" t="s">
        <v>332</v>
      </c>
      <c r="C11" s="12" t="s">
        <v>399</v>
      </c>
      <c r="D11" s="12" t="s">
        <v>408</v>
      </c>
      <c r="E11" s="12" t="s">
        <v>326</v>
      </c>
      <c r="F11" s="12" t="s">
        <v>328</v>
      </c>
      <c r="G11" s="12" t="s">
        <v>397</v>
      </c>
      <c r="H11" s="12" t="s">
        <v>330</v>
      </c>
    </row>
    <row r="12" customFormat="false" ht="15" hidden="false" customHeight="false" outlineLevel="0" collapsed="false">
      <c r="A12" s="77" t="s">
        <v>64</v>
      </c>
      <c r="B12" s="65" t="str">
        <f aca="false">IFERROR(VLOOKUP(A12,Theme_Master!$A$4:$B$22,2,FALSE()),"")</f>
        <v>新台入替</v>
      </c>
      <c r="C12" s="82" t="n">
        <f aca="false">COUNTIFS(案件別収益!$Q$4:$Q$60,A12)</f>
        <v>0</v>
      </c>
      <c r="D12" s="43" t="n">
        <f aca="false">SUMIFS(案件別収益!$J$4:$J$60,案件別収益!$Q$4:$Q$60,A12)</f>
        <v>0</v>
      </c>
      <c r="E12" s="43" t="n">
        <f aca="false">SUMIFS(案件別収益!$K$4:$K$60,案件別収益!$Q$4:$Q$60,A12)</f>
        <v>0</v>
      </c>
      <c r="F12" s="43" t="n">
        <f aca="false">SUMIFS(案件別収益!$M$4:$M$60,案件別収益!$Q$4:$Q$60,A12)</f>
        <v>0</v>
      </c>
      <c r="G12" s="16" t="n">
        <f aca="false">SUMIFS(案件別収益!$L$4:$L$60,案件別収益!$Q$4:$Q$60,A12)</f>
        <v>0</v>
      </c>
      <c r="H12" s="43" t="str">
        <f aca="false">IF(G12=0,"",ROUND(F12/G12,0))</f>
        <v/>
      </c>
    </row>
    <row r="13" customFormat="false" ht="15" hidden="false" customHeight="false" outlineLevel="0" collapsed="false">
      <c r="A13" s="77" t="s">
        <v>68</v>
      </c>
      <c r="B13" s="65" t="str">
        <f aca="false">IFERROR(VLOOKUP(A13,Theme_Master!$A$4:$B$22,2,FALSE()),"")</f>
        <v>おすすめ機種</v>
      </c>
      <c r="C13" s="82" t="n">
        <f aca="false">COUNTIFS(案件別収益!$Q$4:$Q$60,A13)</f>
        <v>0</v>
      </c>
      <c r="D13" s="43" t="n">
        <f aca="false">SUMIFS(案件別収益!$J$4:$J$60,案件別収益!$Q$4:$Q$60,A13)</f>
        <v>0</v>
      </c>
      <c r="E13" s="43" t="n">
        <f aca="false">SUMIFS(案件別収益!$K$4:$K$60,案件別収益!$Q$4:$Q$60,A13)</f>
        <v>0</v>
      </c>
      <c r="F13" s="43" t="n">
        <f aca="false">SUMIFS(案件別収益!$M$4:$M$60,案件別収益!$Q$4:$Q$60,A13)</f>
        <v>0</v>
      </c>
      <c r="G13" s="16" t="n">
        <f aca="false">SUMIFS(案件別収益!$L$4:$L$60,案件別収益!$Q$4:$Q$60,A13)</f>
        <v>0</v>
      </c>
      <c r="H13" s="43" t="str">
        <f aca="false">IF(G13=0,"",ROUND(F13/G13,0))</f>
        <v/>
      </c>
    </row>
    <row r="14" customFormat="false" ht="15" hidden="false" customHeight="false" outlineLevel="0" collapsed="false">
      <c r="A14" s="77" t="s">
        <v>71</v>
      </c>
      <c r="B14" s="65" t="str">
        <f aca="false">IFERROR(VLOOKUP(A14,Theme_Master!$A$4:$B$22,2,FALSE()),"")</f>
        <v>機種訴求</v>
      </c>
      <c r="C14" s="82" t="n">
        <f aca="false">COUNTIFS(案件別収益!$Q$4:$Q$60,A14)</f>
        <v>0</v>
      </c>
      <c r="D14" s="43" t="n">
        <f aca="false">SUMIFS(案件別収益!$J$4:$J$60,案件別収益!$Q$4:$Q$60,A14)</f>
        <v>0</v>
      </c>
      <c r="E14" s="43" t="n">
        <f aca="false">SUMIFS(案件別収益!$K$4:$K$60,案件別収益!$Q$4:$Q$60,A14)</f>
        <v>0</v>
      </c>
      <c r="F14" s="43" t="n">
        <f aca="false">SUMIFS(案件別収益!$M$4:$M$60,案件別収益!$Q$4:$Q$60,A14)</f>
        <v>0</v>
      </c>
      <c r="G14" s="16" t="n">
        <f aca="false">SUMIFS(案件別収益!$L$4:$L$60,案件別収益!$Q$4:$Q$60,A14)</f>
        <v>0</v>
      </c>
      <c r="H14" s="43" t="str">
        <f aca="false">IF(G14=0,"",ROUND(F14/G14,0))</f>
        <v/>
      </c>
    </row>
    <row r="15" customFormat="false" ht="15" hidden="false" customHeight="false" outlineLevel="0" collapsed="false">
      <c r="A15" s="77" t="s">
        <v>74</v>
      </c>
      <c r="B15" s="65" t="str">
        <f aca="false">IFERROR(VLOOKUP(A15,Theme_Master!$A$4:$B$22,2,FALSE()),"")</f>
        <v>演者来店</v>
      </c>
      <c r="C15" s="82" t="n">
        <f aca="false">COUNTIFS(案件別収益!$Q$4:$Q$60,A15)</f>
        <v>0</v>
      </c>
      <c r="D15" s="43" t="n">
        <f aca="false">SUMIFS(案件別収益!$J$4:$J$60,案件別収益!$Q$4:$Q$60,A15)</f>
        <v>0</v>
      </c>
      <c r="E15" s="43" t="n">
        <f aca="false">SUMIFS(案件別収益!$K$4:$K$60,案件別収益!$Q$4:$Q$60,A15)</f>
        <v>0</v>
      </c>
      <c r="F15" s="43" t="n">
        <f aca="false">SUMIFS(案件別収益!$M$4:$M$60,案件別収益!$Q$4:$Q$60,A15)</f>
        <v>0</v>
      </c>
      <c r="G15" s="16" t="n">
        <f aca="false">SUMIFS(案件別収益!$L$4:$L$60,案件別収益!$Q$4:$Q$60,A15)</f>
        <v>0</v>
      </c>
      <c r="H15" s="43" t="str">
        <f aca="false">IF(G15=0,"",ROUND(F15/G15,0))</f>
        <v/>
      </c>
    </row>
    <row r="16" customFormat="false" ht="15" hidden="false" customHeight="false" outlineLevel="0" collapsed="false">
      <c r="A16" s="77" t="s">
        <v>77</v>
      </c>
      <c r="B16" s="65" t="str">
        <f aca="false">IFERROR(VLOOKUP(A16,Theme_Master!$A$4:$B$22,2,FALSE()),"")</f>
        <v>景品訴求</v>
      </c>
      <c r="C16" s="82" t="n">
        <f aca="false">COUNTIFS(案件別収益!$Q$4:$Q$60,A16)</f>
        <v>0</v>
      </c>
      <c r="D16" s="43" t="n">
        <f aca="false">SUMIFS(案件別収益!$J$4:$J$60,案件別収益!$Q$4:$Q$60,A16)</f>
        <v>0</v>
      </c>
      <c r="E16" s="43" t="n">
        <f aca="false">SUMIFS(案件別収益!$K$4:$K$60,案件別収益!$Q$4:$Q$60,A16)</f>
        <v>0</v>
      </c>
      <c r="F16" s="43" t="n">
        <f aca="false">SUMIFS(案件別収益!$M$4:$M$60,案件別収益!$Q$4:$Q$60,A16)</f>
        <v>0</v>
      </c>
      <c r="G16" s="16" t="n">
        <f aca="false">SUMIFS(案件別収益!$L$4:$L$60,案件別収益!$Q$4:$Q$60,A16)</f>
        <v>0</v>
      </c>
      <c r="H16" s="43" t="str">
        <f aca="false">IF(G16=0,"",ROUND(F16/G16,0))</f>
        <v/>
      </c>
    </row>
    <row r="17" customFormat="false" ht="15" hidden="false" customHeight="false" outlineLevel="0" collapsed="false">
      <c r="A17" s="77" t="s">
        <v>80</v>
      </c>
      <c r="B17" s="65" t="str">
        <f aca="false">IFERROR(VLOOKUP(A17,Theme_Master!$A$4:$B$22,2,FALSE()),"")</f>
        <v>週末訴求</v>
      </c>
      <c r="C17" s="82" t="n">
        <f aca="false">COUNTIFS(案件別収益!$Q$4:$Q$60,A17)</f>
        <v>0</v>
      </c>
      <c r="D17" s="43" t="n">
        <f aca="false">SUMIFS(案件別収益!$J$4:$J$60,案件別収益!$Q$4:$Q$60,A17)</f>
        <v>0</v>
      </c>
      <c r="E17" s="43" t="n">
        <f aca="false">SUMIFS(案件別収益!$K$4:$K$60,案件別収益!$Q$4:$Q$60,A17)</f>
        <v>0</v>
      </c>
      <c r="F17" s="43" t="n">
        <f aca="false">SUMIFS(案件別収益!$M$4:$M$60,案件別収益!$Q$4:$Q$60,A17)</f>
        <v>0</v>
      </c>
      <c r="G17" s="16" t="n">
        <f aca="false">SUMIFS(案件別収益!$L$4:$L$60,案件別収益!$Q$4:$Q$60,A17)</f>
        <v>0</v>
      </c>
      <c r="H17" s="43" t="str">
        <f aca="false">IF(G17=0,"",ROUND(F17/G17,0))</f>
        <v/>
      </c>
    </row>
    <row r="18" customFormat="false" ht="15" hidden="false" customHeight="false" outlineLevel="0" collapsed="false">
      <c r="A18" s="77" t="s">
        <v>83</v>
      </c>
      <c r="B18" s="65" t="str">
        <f aca="false">IFERROR(VLOOKUP(A18,Theme_Master!$A$4:$B$22,2,FALSE()),"")</f>
        <v>営業スケジュール</v>
      </c>
      <c r="C18" s="82" t="n">
        <f aca="false">COUNTIFS(案件別収益!$Q$4:$Q$60,A18)</f>
        <v>0</v>
      </c>
      <c r="D18" s="43" t="n">
        <f aca="false">SUMIFS(案件別収益!$J$4:$J$60,案件別収益!$Q$4:$Q$60,A18)</f>
        <v>0</v>
      </c>
      <c r="E18" s="43" t="n">
        <f aca="false">SUMIFS(案件別収益!$K$4:$K$60,案件別収益!$Q$4:$Q$60,A18)</f>
        <v>0</v>
      </c>
      <c r="F18" s="43" t="n">
        <f aca="false">SUMIFS(案件別収益!$M$4:$M$60,案件別収益!$Q$4:$Q$60,A18)</f>
        <v>0</v>
      </c>
      <c r="G18" s="16" t="n">
        <f aca="false">SUMIFS(案件別収益!$L$4:$L$60,案件別収益!$Q$4:$Q$60,A18)</f>
        <v>0</v>
      </c>
      <c r="H18" s="43" t="str">
        <f aca="false">IF(G18=0,"",ROUND(F18/G18,0))</f>
        <v/>
      </c>
    </row>
    <row r="19" customFormat="false" ht="15" hidden="false" customHeight="false" outlineLevel="0" collapsed="false">
      <c r="A19" s="77" t="s">
        <v>86</v>
      </c>
      <c r="B19" s="65" t="str">
        <f aca="false">IFERROR(VLOOKUP(A19,Theme_Master!$A$4:$B$22,2,FALSE()),"")</f>
        <v>取材レポート</v>
      </c>
      <c r="C19" s="82" t="n">
        <f aca="false">COUNTIFS(案件別収益!$Q$4:$Q$60,A19)</f>
        <v>0</v>
      </c>
      <c r="D19" s="43" t="n">
        <f aca="false">SUMIFS(案件別収益!$J$4:$J$60,案件別収益!$Q$4:$Q$60,A19)</f>
        <v>0</v>
      </c>
      <c r="E19" s="43" t="n">
        <f aca="false">SUMIFS(案件別収益!$K$4:$K$60,案件別収益!$Q$4:$Q$60,A19)</f>
        <v>0</v>
      </c>
      <c r="F19" s="43" t="n">
        <f aca="false">SUMIFS(案件別収益!$M$4:$M$60,案件別収益!$Q$4:$Q$60,A19)</f>
        <v>0</v>
      </c>
      <c r="G19" s="16" t="n">
        <f aca="false">SUMIFS(案件別収益!$L$4:$L$60,案件別収益!$Q$4:$Q$60,A19)</f>
        <v>0</v>
      </c>
      <c r="H19" s="43" t="str">
        <f aca="false">IF(G19=0,"",ROUND(F19/G19,0))</f>
        <v/>
      </c>
    </row>
    <row r="20" customFormat="false" ht="15" hidden="false" customHeight="false" outlineLevel="0" collapsed="false">
      <c r="A20" s="77" t="s">
        <v>89</v>
      </c>
      <c r="B20" s="65" t="str">
        <f aca="false">IFERROR(VLOOKUP(A20,Theme_Master!$A$4:$B$22,2,FALSE()),"")</f>
        <v>付加価値訴求</v>
      </c>
      <c r="C20" s="82" t="n">
        <f aca="false">COUNTIFS(案件別収益!$Q$4:$Q$60,A20)</f>
        <v>0</v>
      </c>
      <c r="D20" s="43" t="n">
        <f aca="false">SUMIFS(案件別収益!$J$4:$J$60,案件別収益!$Q$4:$Q$60,A20)</f>
        <v>0</v>
      </c>
      <c r="E20" s="43" t="n">
        <f aca="false">SUMIFS(案件別収益!$K$4:$K$60,案件別収益!$Q$4:$Q$60,A20)</f>
        <v>0</v>
      </c>
      <c r="F20" s="43" t="n">
        <f aca="false">SUMIFS(案件別収益!$M$4:$M$60,案件別収益!$Q$4:$Q$60,A20)</f>
        <v>0</v>
      </c>
      <c r="G20" s="16" t="n">
        <f aca="false">SUMIFS(案件別収益!$L$4:$L$60,案件別収益!$Q$4:$Q$60,A20)</f>
        <v>0</v>
      </c>
      <c r="H20" s="43" t="str">
        <f aca="false">IF(G20=0,"",ROUND(F20/G20,0))</f>
        <v/>
      </c>
    </row>
    <row r="21" customFormat="false" ht="15" hidden="false" customHeight="false" outlineLevel="0" collapsed="false">
      <c r="A21" s="77" t="s">
        <v>92</v>
      </c>
      <c r="B21" s="65" t="str">
        <f aca="false">IFERROR(VLOOKUP(A21,Theme_Master!$A$4:$B$22,2,FALSE()),"")</f>
        <v>会員募集</v>
      </c>
      <c r="C21" s="82" t="n">
        <f aca="false">COUNTIFS(案件別収益!$Q$4:$Q$60,A21)</f>
        <v>0</v>
      </c>
      <c r="D21" s="43" t="n">
        <f aca="false">SUMIFS(案件別収益!$J$4:$J$60,案件別収益!$Q$4:$Q$60,A21)</f>
        <v>0</v>
      </c>
      <c r="E21" s="43" t="n">
        <f aca="false">SUMIFS(案件別収益!$K$4:$K$60,案件別収益!$Q$4:$Q$60,A21)</f>
        <v>0</v>
      </c>
      <c r="F21" s="43" t="n">
        <f aca="false">SUMIFS(案件別収益!$M$4:$M$60,案件別収益!$Q$4:$Q$60,A21)</f>
        <v>0</v>
      </c>
      <c r="G21" s="16" t="n">
        <f aca="false">SUMIFS(案件別収益!$L$4:$L$60,案件別収益!$Q$4:$Q$60,A21)</f>
        <v>0</v>
      </c>
      <c r="H21" s="43" t="str">
        <f aca="false">IF(G21=0,"",ROUND(F21/G21,0))</f>
        <v/>
      </c>
    </row>
    <row r="22" customFormat="false" ht="15" hidden="false" customHeight="false" outlineLevel="0" collapsed="false">
      <c r="A22" s="77" t="s">
        <v>95</v>
      </c>
      <c r="B22" s="65" t="str">
        <f aca="false">IFERROR(VLOOKUP(A22,Theme_Master!$A$4:$B$22,2,FALSE()),"")</f>
        <v>店舗設備訴求</v>
      </c>
      <c r="C22" s="82" t="n">
        <f aca="false">COUNTIFS(案件別収益!$Q$4:$Q$60,A22)</f>
        <v>0</v>
      </c>
      <c r="D22" s="43" t="n">
        <f aca="false">SUMIFS(案件別収益!$J$4:$J$60,案件別収益!$Q$4:$Q$60,A22)</f>
        <v>0</v>
      </c>
      <c r="E22" s="43" t="n">
        <f aca="false">SUMIFS(案件別収益!$K$4:$K$60,案件別収益!$Q$4:$Q$60,A22)</f>
        <v>0</v>
      </c>
      <c r="F22" s="43" t="n">
        <f aca="false">SUMIFS(案件別収益!$M$4:$M$60,案件別収益!$Q$4:$Q$60,A22)</f>
        <v>0</v>
      </c>
      <c r="G22" s="16" t="n">
        <f aca="false">SUMIFS(案件別収益!$L$4:$L$60,案件別収益!$Q$4:$Q$60,A22)</f>
        <v>0</v>
      </c>
      <c r="H22" s="43" t="str">
        <f aca="false">IF(G22=0,"",ROUND(F22/G22,0))</f>
        <v/>
      </c>
    </row>
    <row r="23" customFormat="false" ht="15" hidden="false" customHeight="false" outlineLevel="0" collapsed="false">
      <c r="A23" s="77" t="s">
        <v>98</v>
      </c>
      <c r="B23" s="65" t="str">
        <f aca="false">IFERROR(VLOOKUP(A23,Theme_Master!$A$4:$B$22,2,FALSE()),"")</f>
        <v>貯玉・再プレイ訴求</v>
      </c>
      <c r="C23" s="82" t="n">
        <f aca="false">COUNTIFS(案件別収益!$Q$4:$Q$60,A23)</f>
        <v>0</v>
      </c>
      <c r="D23" s="43" t="n">
        <f aca="false">SUMIFS(案件別収益!$J$4:$J$60,案件別収益!$Q$4:$Q$60,A23)</f>
        <v>0</v>
      </c>
      <c r="E23" s="43" t="n">
        <f aca="false">SUMIFS(案件別収益!$K$4:$K$60,案件別収益!$Q$4:$Q$60,A23)</f>
        <v>0</v>
      </c>
      <c r="F23" s="43" t="n">
        <f aca="false">SUMIFS(案件別収益!$M$4:$M$60,案件別収益!$Q$4:$Q$60,A23)</f>
        <v>0</v>
      </c>
      <c r="G23" s="16" t="n">
        <f aca="false">SUMIFS(案件別収益!$L$4:$L$60,案件別収益!$Q$4:$Q$60,A23)</f>
        <v>0</v>
      </c>
      <c r="H23" s="43" t="str">
        <f aca="false">IF(G23=0,"",ROUND(F23/G23,0))</f>
        <v/>
      </c>
    </row>
    <row r="24" customFormat="false" ht="15" hidden="false" customHeight="false" outlineLevel="0" collapsed="false">
      <c r="A24" s="77" t="s">
        <v>101</v>
      </c>
      <c r="B24" s="65" t="str">
        <f aca="false">IFERROR(VLOOKUP(A24,Theme_Master!$A$4:$B$22,2,FALSE()),"")</f>
        <v>店舗人事告知</v>
      </c>
      <c r="C24" s="82" t="n">
        <f aca="false">COUNTIFS(案件別収益!$Q$4:$Q$60,A24)</f>
        <v>0</v>
      </c>
      <c r="D24" s="43" t="n">
        <f aca="false">SUMIFS(案件別収益!$J$4:$J$60,案件別収益!$Q$4:$Q$60,A24)</f>
        <v>0</v>
      </c>
      <c r="E24" s="43" t="n">
        <f aca="false">SUMIFS(案件別収益!$K$4:$K$60,案件別収益!$Q$4:$Q$60,A24)</f>
        <v>0</v>
      </c>
      <c r="F24" s="43" t="n">
        <f aca="false">SUMIFS(案件別収益!$M$4:$M$60,案件別収益!$Q$4:$Q$60,A24)</f>
        <v>0</v>
      </c>
      <c r="G24" s="16" t="n">
        <f aca="false">SUMIFS(案件別収益!$L$4:$L$60,案件別収益!$Q$4:$Q$60,A24)</f>
        <v>0</v>
      </c>
      <c r="H24" s="43" t="str">
        <f aca="false">IF(G24=0,"",ROUND(F24/G24,0))</f>
        <v/>
      </c>
    </row>
    <row r="25" customFormat="false" ht="15" hidden="false" customHeight="false" outlineLevel="0" collapsed="false">
      <c r="A25" s="77" t="s">
        <v>104</v>
      </c>
      <c r="B25" s="65" t="str">
        <f aca="false">IFERROR(VLOOKUP(A25,Theme_Master!$A$4:$B$22,2,FALSE()),"")</f>
        <v>周年</v>
      </c>
      <c r="C25" s="82" t="n">
        <f aca="false">COUNTIFS(案件別収益!$Q$4:$Q$60,A25)</f>
        <v>1</v>
      </c>
      <c r="D25" s="43" t="n">
        <f aca="false">SUMIFS(案件別収益!$J$4:$J$60,案件別収益!$Q$4:$Q$60,A25)</f>
        <v>100000</v>
      </c>
      <c r="E25" s="43" t="n">
        <f aca="false">SUMIFS(案件別収益!$K$4:$K$60,案件別収益!$Q$4:$Q$60,A25)</f>
        <v>12000</v>
      </c>
      <c r="F25" s="43" t="n">
        <f aca="false">SUMIFS(案件別収益!$M$4:$M$60,案件別収益!$Q$4:$Q$60,A25)</f>
        <v>88000</v>
      </c>
      <c r="G25" s="16" t="n">
        <f aca="false">SUMIFS(案件別収益!$L$4:$L$60,案件別収益!$Q$4:$Q$60,A25)</f>
        <v>18</v>
      </c>
      <c r="H25" s="43" t="n">
        <f aca="false">IF(G25=0,"",ROUND(F25/G25,0))</f>
        <v>4889</v>
      </c>
    </row>
    <row r="26" customFormat="false" ht="15" hidden="false" customHeight="false" outlineLevel="0" collapsed="false">
      <c r="A26" s="77" t="s">
        <v>108</v>
      </c>
      <c r="B26" s="65" t="str">
        <f aca="false">IFERROR(VLOOKUP(A26,Theme_Master!$A$4:$B$22,2,FALSE()),"")</f>
        <v>創業祭</v>
      </c>
      <c r="C26" s="82" t="n">
        <f aca="false">COUNTIFS(案件別収益!$Q$4:$Q$60,A26)</f>
        <v>0</v>
      </c>
      <c r="D26" s="43" t="n">
        <f aca="false">SUMIFS(案件別収益!$J$4:$J$60,案件別収益!$Q$4:$Q$60,A26)</f>
        <v>0</v>
      </c>
      <c r="E26" s="43" t="n">
        <f aca="false">SUMIFS(案件別収益!$K$4:$K$60,案件別収益!$Q$4:$Q$60,A26)</f>
        <v>0</v>
      </c>
      <c r="F26" s="43" t="n">
        <f aca="false">SUMIFS(案件別収益!$M$4:$M$60,案件別収益!$Q$4:$Q$60,A26)</f>
        <v>0</v>
      </c>
      <c r="G26" s="16" t="n">
        <f aca="false">SUMIFS(案件別収益!$L$4:$L$60,案件別収益!$Q$4:$Q$60,A26)</f>
        <v>0</v>
      </c>
      <c r="H26" s="43" t="str">
        <f aca="false">IF(G26=0,"",ROUND(F26/G26,0))</f>
        <v/>
      </c>
    </row>
    <row r="27" customFormat="false" ht="15" hidden="false" customHeight="false" outlineLevel="0" collapsed="false">
      <c r="A27" s="77" t="s">
        <v>111</v>
      </c>
      <c r="B27" s="65" t="str">
        <f aca="false">IFERROR(VLOOKUP(A27,Theme_Master!$A$4:$B$22,2,FALSE()),"")</f>
        <v>リフレッシュオープン</v>
      </c>
      <c r="C27" s="82" t="n">
        <f aca="false">COUNTIFS(案件別収益!$Q$4:$Q$60,A27)</f>
        <v>0</v>
      </c>
      <c r="D27" s="43" t="n">
        <f aca="false">SUMIFS(案件別収益!$J$4:$J$60,案件別収益!$Q$4:$Q$60,A27)</f>
        <v>0</v>
      </c>
      <c r="E27" s="43" t="n">
        <f aca="false">SUMIFS(案件別収益!$K$4:$K$60,案件別収益!$Q$4:$Q$60,A27)</f>
        <v>0</v>
      </c>
      <c r="F27" s="43" t="n">
        <f aca="false">SUMIFS(案件別収益!$M$4:$M$60,案件別収益!$Q$4:$Q$60,A27)</f>
        <v>0</v>
      </c>
      <c r="G27" s="16" t="n">
        <f aca="false">SUMIFS(案件別収益!$L$4:$L$60,案件別収益!$Q$4:$Q$60,A27)</f>
        <v>0</v>
      </c>
      <c r="H27" s="43" t="str">
        <f aca="false">IF(G27=0,"",ROUND(F27/G27,0))</f>
        <v/>
      </c>
    </row>
    <row r="28" customFormat="false" ht="15" hidden="false" customHeight="false" outlineLevel="0" collapsed="false">
      <c r="A28" s="77" t="s">
        <v>114</v>
      </c>
      <c r="B28" s="65" t="str">
        <f aca="false">IFERROR(VLOOKUP(A28,Theme_Master!$A$4:$B$22,2,FALSE()),"")</f>
        <v>リニューアルオープン</v>
      </c>
      <c r="C28" s="82" t="n">
        <f aca="false">COUNTIFS(案件別収益!$Q$4:$Q$60,A28)</f>
        <v>1</v>
      </c>
      <c r="D28" s="43" t="n">
        <f aca="false">SUMIFS(案件別収益!$J$4:$J$60,案件別収益!$Q$4:$Q$60,A28)</f>
        <v>150000</v>
      </c>
      <c r="E28" s="43" t="n">
        <f aca="false">SUMIFS(案件別収益!$K$4:$K$60,案件別収益!$Q$4:$Q$60,A28)</f>
        <v>10000</v>
      </c>
      <c r="F28" s="43" t="n">
        <f aca="false">SUMIFS(案件別収益!$M$4:$M$60,案件別収益!$Q$4:$Q$60,A28)</f>
        <v>140000</v>
      </c>
      <c r="G28" s="16" t="n">
        <f aca="false">SUMIFS(案件別収益!$L$4:$L$60,案件別収益!$Q$4:$Q$60,A28)</f>
        <v>24</v>
      </c>
      <c r="H28" s="43" t="n">
        <f aca="false">IF(G28=0,"",ROUND(F28/G28,0))</f>
        <v>5833</v>
      </c>
    </row>
    <row r="29" customFormat="false" ht="15" hidden="false" customHeight="false" outlineLevel="0" collapsed="false">
      <c r="A29" s="77" t="s">
        <v>117</v>
      </c>
      <c r="B29" s="65" t="str">
        <f aca="false">IFERROR(VLOOKUP(A29,Theme_Master!$A$4:$B$22,2,FALSE()),"")</f>
        <v>グランドオープン</v>
      </c>
      <c r="C29" s="82" t="n">
        <f aca="false">COUNTIFS(案件別収益!$Q$4:$Q$60,A29)</f>
        <v>0</v>
      </c>
      <c r="D29" s="43" t="n">
        <f aca="false">SUMIFS(案件別収益!$J$4:$J$60,案件別収益!$Q$4:$Q$60,A29)</f>
        <v>0</v>
      </c>
      <c r="E29" s="43" t="n">
        <f aca="false">SUMIFS(案件別収益!$K$4:$K$60,案件別収益!$Q$4:$Q$60,A29)</f>
        <v>0</v>
      </c>
      <c r="F29" s="43" t="n">
        <f aca="false">SUMIFS(案件別収益!$M$4:$M$60,案件別収益!$Q$4:$Q$60,A29)</f>
        <v>0</v>
      </c>
      <c r="G29" s="16" t="n">
        <f aca="false">SUMIFS(案件別収益!$L$4:$L$60,案件別収益!$Q$4:$Q$60,A29)</f>
        <v>0</v>
      </c>
      <c r="H29" s="43" t="str">
        <f aca="false">IF(G29=0,"",ROUND(F29/G29,0))</f>
        <v/>
      </c>
    </row>
    <row r="30" customFormat="false" ht="15" hidden="false" customHeight="false" outlineLevel="0" collapsed="false">
      <c r="A30" s="77" t="s">
        <v>120</v>
      </c>
      <c r="B30" s="65" t="str">
        <f aca="false">IFERROR(VLOOKUP(A30,Theme_Master!$A$4:$B$22,2,FALSE()),"")</f>
        <v>特注案件</v>
      </c>
      <c r="C30" s="82" t="n">
        <f aca="false">COUNTIFS(案件別収益!$Q$4:$Q$60,A30)</f>
        <v>0</v>
      </c>
      <c r="D30" s="43" t="n">
        <f aca="false">SUMIFS(案件別収益!$J$4:$J$60,案件別収益!$Q$4:$Q$60,A30)</f>
        <v>0</v>
      </c>
      <c r="E30" s="43" t="n">
        <f aca="false">SUMIFS(案件別収益!$K$4:$K$60,案件別収益!$Q$4:$Q$60,A30)</f>
        <v>0</v>
      </c>
      <c r="F30" s="43" t="n">
        <f aca="false">SUMIFS(案件別収益!$M$4:$M$60,案件別収益!$Q$4:$Q$60,A30)</f>
        <v>0</v>
      </c>
      <c r="G30" s="16" t="n">
        <f aca="false">SUMIFS(案件別収益!$L$4:$L$60,案件別収益!$Q$4:$Q$60,A30)</f>
        <v>0</v>
      </c>
      <c r="H30" s="43" t="str">
        <f aca="false">IF(G30=0,"",ROUND(F30/G30,0))</f>
        <v/>
      </c>
    </row>
    <row r="32" customFormat="false" ht="17.15" hidden="false" customHeight="false" outlineLevel="0" collapsed="false">
      <c r="A32" s="81" t="s">
        <v>411</v>
      </c>
      <c r="B32" s="79"/>
      <c r="C32" s="79"/>
      <c r="D32" s="79"/>
      <c r="E32" s="79"/>
      <c r="F32" s="79"/>
      <c r="G32" s="79"/>
      <c r="H32" s="79"/>
    </row>
    <row r="33" customFormat="false" ht="17.15" hidden="false" customHeight="false" outlineLevel="0" collapsed="false">
      <c r="A33" s="12" t="s">
        <v>333</v>
      </c>
      <c r="B33" s="12" t="s">
        <v>32</v>
      </c>
      <c r="C33" s="12" t="s">
        <v>399</v>
      </c>
      <c r="D33" s="12" t="s">
        <v>408</v>
      </c>
      <c r="E33" s="12" t="s">
        <v>328</v>
      </c>
      <c r="F33" s="12"/>
      <c r="G33" s="12"/>
      <c r="H33" s="12"/>
    </row>
    <row r="34" customFormat="false" ht="15" hidden="false" customHeight="false" outlineLevel="0" collapsed="false">
      <c r="A34" s="14" t="s">
        <v>128</v>
      </c>
      <c r="B34" s="13" t="s">
        <v>127</v>
      </c>
      <c r="C34" s="19" t="n">
        <f aca="false">COUNTIFS(案件別収益!$S$4:$S$60,A34)</f>
        <v>0</v>
      </c>
      <c r="D34" s="43" t="n">
        <f aca="false">SUMIFS(案件別収益!$J$4:$J$60,案件別収益!$S$4:$S$60,A34)</f>
        <v>0</v>
      </c>
      <c r="E34" s="43" t="n">
        <f aca="false">SUMIFS(案件別収益!$M$4:$M$60,案件別収益!$S$4:$S$60,A34)</f>
        <v>0</v>
      </c>
    </row>
    <row r="35" customFormat="false" ht="15" hidden="false" customHeight="false" outlineLevel="0" collapsed="false">
      <c r="A35" s="14" t="s">
        <v>129</v>
      </c>
      <c r="B35" s="13" t="s">
        <v>127</v>
      </c>
      <c r="C35" s="19" t="n">
        <f aca="false">COUNTIFS(案件別収益!$S$4:$S$60,A35)</f>
        <v>0</v>
      </c>
      <c r="D35" s="43" t="n">
        <f aca="false">SUMIFS(案件別収益!$J$4:$J$60,案件別収益!$S$4:$S$60,A35)</f>
        <v>0</v>
      </c>
      <c r="E35" s="43" t="n">
        <f aca="false">SUMIFS(案件別収益!$M$4:$M$60,案件別収益!$S$4:$S$60,A35)</f>
        <v>0</v>
      </c>
    </row>
    <row r="36" customFormat="false" ht="15" hidden="false" customHeight="false" outlineLevel="0" collapsed="false">
      <c r="A36" s="14" t="s">
        <v>130</v>
      </c>
      <c r="B36" s="13" t="s">
        <v>127</v>
      </c>
      <c r="C36" s="19" t="n">
        <f aca="false">COUNTIFS(案件別収益!$S$4:$S$60,A36)</f>
        <v>0</v>
      </c>
      <c r="D36" s="43" t="n">
        <f aca="false">SUMIFS(案件別収益!$J$4:$J$60,案件別収益!$S$4:$S$60,A36)</f>
        <v>0</v>
      </c>
      <c r="E36" s="43" t="n">
        <f aca="false">SUMIFS(案件別収益!$M$4:$M$60,案件別収益!$S$4:$S$60,A36)</f>
        <v>0</v>
      </c>
    </row>
    <row r="37" customFormat="false" ht="15" hidden="false" customHeight="false" outlineLevel="0" collapsed="false">
      <c r="A37" s="14" t="s">
        <v>131</v>
      </c>
      <c r="B37" s="13" t="s">
        <v>127</v>
      </c>
      <c r="C37" s="19" t="n">
        <f aca="false">COUNTIFS(案件別収益!$S$4:$S$60,A37)</f>
        <v>0</v>
      </c>
      <c r="D37" s="43" t="n">
        <f aca="false">SUMIFS(案件別収益!$J$4:$J$60,案件別収益!$S$4:$S$60,A37)</f>
        <v>0</v>
      </c>
      <c r="E37" s="43" t="n">
        <f aca="false">SUMIFS(案件別収益!$M$4:$M$60,案件別収益!$S$4:$S$60,A37)</f>
        <v>0</v>
      </c>
    </row>
    <row r="38" customFormat="false" ht="15" hidden="false" customHeight="false" outlineLevel="0" collapsed="false">
      <c r="A38" s="14" t="s">
        <v>132</v>
      </c>
      <c r="B38" s="13" t="s">
        <v>127</v>
      </c>
      <c r="C38" s="19" t="n">
        <f aca="false">COUNTIFS(案件別収益!$S$4:$S$60,A38)</f>
        <v>0</v>
      </c>
      <c r="D38" s="43" t="n">
        <f aca="false">SUMIFS(案件別収益!$J$4:$J$60,案件別収益!$S$4:$S$60,A38)</f>
        <v>0</v>
      </c>
      <c r="E38" s="43" t="n">
        <f aca="false">SUMIFS(案件別収益!$M$4:$M$60,案件別収益!$S$4:$S$60,A38)</f>
        <v>0</v>
      </c>
    </row>
    <row r="39" customFormat="false" ht="15" hidden="false" customHeight="false" outlineLevel="0" collapsed="false">
      <c r="A39" s="14" t="s">
        <v>133</v>
      </c>
      <c r="B39" s="13" t="s">
        <v>127</v>
      </c>
      <c r="C39" s="19" t="n">
        <f aca="false">COUNTIFS(案件別収益!$S$4:$S$60,A39)</f>
        <v>0</v>
      </c>
      <c r="D39" s="43" t="n">
        <f aca="false">SUMIFS(案件別収益!$J$4:$J$60,案件別収益!$S$4:$S$60,A39)</f>
        <v>0</v>
      </c>
      <c r="E39" s="43" t="n">
        <f aca="false">SUMIFS(案件別収益!$M$4:$M$60,案件別収益!$S$4:$S$60,A39)</f>
        <v>0</v>
      </c>
    </row>
    <row r="40" customFormat="false" ht="15" hidden="false" customHeight="false" outlineLevel="0" collapsed="false">
      <c r="A40" s="14" t="s">
        <v>134</v>
      </c>
      <c r="B40" s="13" t="s">
        <v>127</v>
      </c>
      <c r="C40" s="19" t="n">
        <f aca="false">COUNTIFS(案件別収益!$S$4:$S$60,A40)</f>
        <v>0</v>
      </c>
      <c r="D40" s="43" t="n">
        <f aca="false">SUMIFS(案件別収益!$J$4:$J$60,案件別収益!$S$4:$S$60,A40)</f>
        <v>0</v>
      </c>
      <c r="E40" s="43" t="n">
        <f aca="false">SUMIFS(案件別収益!$M$4:$M$60,案件別収益!$S$4:$S$60,A40)</f>
        <v>0</v>
      </c>
    </row>
    <row r="41" customFormat="false" ht="15" hidden="false" customHeight="false" outlineLevel="0" collapsed="false">
      <c r="A41" s="14" t="s">
        <v>135</v>
      </c>
      <c r="B41" s="13" t="s">
        <v>127</v>
      </c>
      <c r="C41" s="19" t="n">
        <f aca="false">COUNTIFS(案件別収益!$S$4:$S$60,A41)</f>
        <v>0</v>
      </c>
      <c r="D41" s="43" t="n">
        <f aca="false">SUMIFS(案件別収益!$J$4:$J$60,案件別収益!$S$4:$S$60,A41)</f>
        <v>0</v>
      </c>
      <c r="E41" s="43" t="n">
        <f aca="false">SUMIFS(案件別収益!$M$4:$M$60,案件別収益!$S$4:$S$60,A41)</f>
        <v>0</v>
      </c>
    </row>
    <row r="42" customFormat="false" ht="15" hidden="false" customHeight="false" outlineLevel="0" collapsed="false">
      <c r="A42" s="14" t="s">
        <v>136</v>
      </c>
      <c r="B42" s="13" t="s">
        <v>127</v>
      </c>
      <c r="C42" s="19" t="n">
        <f aca="false">COUNTIFS(案件別収益!$S$4:$S$60,A42)</f>
        <v>0</v>
      </c>
      <c r="D42" s="43" t="n">
        <f aca="false">SUMIFS(案件別収益!$J$4:$J$60,案件別収益!$S$4:$S$60,A42)</f>
        <v>0</v>
      </c>
      <c r="E42" s="43" t="n">
        <f aca="false">SUMIFS(案件別収益!$M$4:$M$60,案件別収益!$S$4:$S$60,A42)</f>
        <v>0</v>
      </c>
    </row>
    <row r="43" customFormat="false" ht="15" hidden="false" customHeight="false" outlineLevel="0" collapsed="false">
      <c r="A43" s="14" t="s">
        <v>137</v>
      </c>
      <c r="B43" s="13" t="s">
        <v>127</v>
      </c>
      <c r="C43" s="19" t="n">
        <f aca="false">COUNTIFS(案件別収益!$S$4:$S$60,A43)</f>
        <v>0</v>
      </c>
      <c r="D43" s="43" t="n">
        <f aca="false">SUMIFS(案件別収益!$J$4:$J$60,案件別収益!$S$4:$S$60,A43)</f>
        <v>0</v>
      </c>
      <c r="E43" s="43" t="n">
        <f aca="false">SUMIFS(案件別収益!$M$4:$M$60,案件別収益!$S$4:$S$60,A43)</f>
        <v>0</v>
      </c>
    </row>
    <row r="44" customFormat="false" ht="15" hidden="false" customHeight="false" outlineLevel="0" collapsed="false">
      <c r="A44" s="14" t="s">
        <v>138</v>
      </c>
      <c r="B44" s="13" t="s">
        <v>127</v>
      </c>
      <c r="C44" s="19" t="n">
        <f aca="false">COUNTIFS(案件別収益!$S$4:$S$60,A44)</f>
        <v>0</v>
      </c>
      <c r="D44" s="43" t="n">
        <f aca="false">SUMIFS(案件別収益!$J$4:$J$60,案件別収益!$S$4:$S$60,A44)</f>
        <v>0</v>
      </c>
      <c r="E44" s="43" t="n">
        <f aca="false">SUMIFS(案件別収益!$M$4:$M$60,案件別収益!$S$4:$S$60,A44)</f>
        <v>0</v>
      </c>
    </row>
    <row r="45" customFormat="false" ht="15" hidden="false" customHeight="false" outlineLevel="0" collapsed="false">
      <c r="A45" s="14" t="s">
        <v>139</v>
      </c>
      <c r="B45" s="13" t="s">
        <v>127</v>
      </c>
      <c r="C45" s="19" t="n">
        <f aca="false">COUNTIFS(案件別収益!$S$4:$S$60,A45)</f>
        <v>0</v>
      </c>
      <c r="D45" s="43" t="n">
        <f aca="false">SUMIFS(案件別収益!$J$4:$J$60,案件別収益!$S$4:$S$60,A45)</f>
        <v>0</v>
      </c>
      <c r="E45" s="43" t="n">
        <f aca="false">SUMIFS(案件別収益!$M$4:$M$60,案件別収益!$S$4:$S$60,A45)</f>
        <v>0</v>
      </c>
    </row>
    <row r="46" customFormat="false" ht="15" hidden="false" customHeight="false" outlineLevel="0" collapsed="false">
      <c r="A46" s="14" t="s">
        <v>140</v>
      </c>
      <c r="B46" s="13" t="s">
        <v>127</v>
      </c>
      <c r="C46" s="19" t="n">
        <f aca="false">COUNTIFS(案件別収益!$S$4:$S$60,A46)</f>
        <v>0</v>
      </c>
      <c r="D46" s="43" t="n">
        <f aca="false">SUMIFS(案件別収益!$J$4:$J$60,案件別収益!$S$4:$S$60,A46)</f>
        <v>0</v>
      </c>
      <c r="E46" s="43" t="n">
        <f aca="false">SUMIFS(案件別収益!$M$4:$M$60,案件別収益!$S$4:$S$60,A46)</f>
        <v>0</v>
      </c>
    </row>
    <row r="47" customFormat="false" ht="15" hidden="false" customHeight="false" outlineLevel="0" collapsed="false">
      <c r="A47" s="14" t="s">
        <v>142</v>
      </c>
      <c r="B47" s="13" t="s">
        <v>141</v>
      </c>
      <c r="C47" s="19" t="n">
        <f aca="false">COUNTIFS(案件別収益!$S$4:$S$60,A47)</f>
        <v>0</v>
      </c>
      <c r="D47" s="43" t="n">
        <f aca="false">SUMIFS(案件別収益!$J$4:$J$60,案件別収益!$S$4:$S$60,A47)</f>
        <v>0</v>
      </c>
      <c r="E47" s="43" t="n">
        <f aca="false">SUMIFS(案件別収益!$M$4:$M$60,案件別収益!$S$4:$S$60,A47)</f>
        <v>0</v>
      </c>
    </row>
    <row r="48" customFormat="false" ht="15" hidden="false" customHeight="false" outlineLevel="0" collapsed="false">
      <c r="A48" s="14" t="s">
        <v>143</v>
      </c>
      <c r="B48" s="13" t="s">
        <v>141</v>
      </c>
      <c r="C48" s="19" t="n">
        <f aca="false">COUNTIFS(案件別収益!$S$4:$S$60,A48)</f>
        <v>0</v>
      </c>
      <c r="D48" s="43" t="n">
        <f aca="false">SUMIFS(案件別収益!$J$4:$J$60,案件別収益!$S$4:$S$60,A48)</f>
        <v>0</v>
      </c>
      <c r="E48" s="43" t="n">
        <f aca="false">SUMIFS(案件別収益!$M$4:$M$60,案件別収益!$S$4:$S$60,A48)</f>
        <v>0</v>
      </c>
    </row>
    <row r="49" customFormat="false" ht="15" hidden="false" customHeight="false" outlineLevel="0" collapsed="false">
      <c r="A49" s="14" t="s">
        <v>144</v>
      </c>
      <c r="B49" s="13" t="s">
        <v>141</v>
      </c>
      <c r="C49" s="19" t="n">
        <f aca="false">COUNTIFS(案件別収益!$S$4:$S$60,A49)</f>
        <v>0</v>
      </c>
      <c r="D49" s="43" t="n">
        <f aca="false">SUMIFS(案件別収益!$J$4:$J$60,案件別収益!$S$4:$S$60,A49)</f>
        <v>0</v>
      </c>
      <c r="E49" s="43" t="n">
        <f aca="false">SUMIFS(案件別収益!$M$4:$M$60,案件別収益!$S$4:$S$60,A49)</f>
        <v>0</v>
      </c>
    </row>
    <row r="50" customFormat="false" ht="15" hidden="false" customHeight="false" outlineLevel="0" collapsed="false">
      <c r="A50" s="14" t="s">
        <v>145</v>
      </c>
      <c r="B50" s="13" t="s">
        <v>141</v>
      </c>
      <c r="C50" s="19" t="n">
        <f aca="false">COUNTIFS(案件別収益!$S$4:$S$60,A50)</f>
        <v>0</v>
      </c>
      <c r="D50" s="43" t="n">
        <f aca="false">SUMIFS(案件別収益!$J$4:$J$60,案件別収益!$S$4:$S$60,A50)</f>
        <v>0</v>
      </c>
      <c r="E50" s="43" t="n">
        <f aca="false">SUMIFS(案件別収益!$M$4:$M$60,案件別収益!$S$4:$S$60,A50)</f>
        <v>0</v>
      </c>
    </row>
    <row r="51" customFormat="false" ht="15" hidden="false" customHeight="false" outlineLevel="0" collapsed="false">
      <c r="A51" s="14" t="s">
        <v>146</v>
      </c>
      <c r="B51" s="13" t="s">
        <v>141</v>
      </c>
      <c r="C51" s="19" t="n">
        <f aca="false">COUNTIFS(案件別収益!$S$4:$S$60,A51)</f>
        <v>0</v>
      </c>
      <c r="D51" s="43" t="n">
        <f aca="false">SUMIFS(案件別収益!$J$4:$J$60,案件別収益!$S$4:$S$60,A51)</f>
        <v>0</v>
      </c>
      <c r="E51" s="43" t="n">
        <f aca="false">SUMIFS(案件別収益!$M$4:$M$60,案件別収益!$S$4:$S$60,A51)</f>
        <v>0</v>
      </c>
    </row>
    <row r="52" customFormat="false" ht="15" hidden="false" customHeight="false" outlineLevel="0" collapsed="false">
      <c r="A52" s="14" t="s">
        <v>147</v>
      </c>
      <c r="B52" s="13" t="s">
        <v>141</v>
      </c>
      <c r="C52" s="19" t="n">
        <f aca="false">COUNTIFS(案件別収益!$S$4:$S$60,A52)</f>
        <v>0</v>
      </c>
      <c r="D52" s="43" t="n">
        <f aca="false">SUMIFS(案件別収益!$J$4:$J$60,案件別収益!$S$4:$S$60,A52)</f>
        <v>0</v>
      </c>
      <c r="E52" s="43" t="n">
        <f aca="false">SUMIFS(案件別収益!$M$4:$M$60,案件別収益!$S$4:$S$60,A52)</f>
        <v>0</v>
      </c>
    </row>
    <row r="53" customFormat="false" ht="15" hidden="false" customHeight="false" outlineLevel="0" collapsed="false">
      <c r="A53" s="14" t="s">
        <v>148</v>
      </c>
      <c r="B53" s="13" t="s">
        <v>141</v>
      </c>
      <c r="C53" s="19" t="n">
        <f aca="false">COUNTIFS(案件別収益!$S$4:$S$60,A53)</f>
        <v>0</v>
      </c>
      <c r="D53" s="43" t="n">
        <f aca="false">SUMIFS(案件別収益!$J$4:$J$60,案件別収益!$S$4:$S$60,A53)</f>
        <v>0</v>
      </c>
      <c r="E53" s="43" t="n">
        <f aca="false">SUMIFS(案件別収益!$M$4:$M$60,案件別収益!$S$4:$S$60,A53)</f>
        <v>0</v>
      </c>
    </row>
    <row r="54" customFormat="false" ht="15" hidden="false" customHeight="false" outlineLevel="0" collapsed="false">
      <c r="A54" s="14" t="s">
        <v>149</v>
      </c>
      <c r="B54" s="13" t="s">
        <v>141</v>
      </c>
      <c r="C54" s="19" t="n">
        <f aca="false">COUNTIFS(案件別収益!$S$4:$S$60,A54)</f>
        <v>0</v>
      </c>
      <c r="D54" s="43" t="n">
        <f aca="false">SUMIFS(案件別収益!$J$4:$J$60,案件別収益!$S$4:$S$60,A54)</f>
        <v>0</v>
      </c>
      <c r="E54" s="43" t="n">
        <f aca="false">SUMIFS(案件別収益!$M$4:$M$60,案件別収益!$S$4:$S$60,A54)</f>
        <v>0</v>
      </c>
    </row>
    <row r="55" customFormat="false" ht="15" hidden="false" customHeight="false" outlineLevel="0" collapsed="false">
      <c r="A55" s="14" t="s">
        <v>150</v>
      </c>
      <c r="B55" s="13" t="s">
        <v>141</v>
      </c>
      <c r="C55" s="19" t="n">
        <f aca="false">COUNTIFS(案件別収益!$S$4:$S$60,A55)</f>
        <v>0</v>
      </c>
      <c r="D55" s="43" t="n">
        <f aca="false">SUMIFS(案件別収益!$J$4:$J$60,案件別収益!$S$4:$S$60,A55)</f>
        <v>0</v>
      </c>
      <c r="E55" s="43" t="n">
        <f aca="false">SUMIFS(案件別収益!$M$4:$M$60,案件別収益!$S$4:$S$60,A55)</f>
        <v>0</v>
      </c>
    </row>
    <row r="56" customFormat="false" ht="15" hidden="false" customHeight="false" outlineLevel="0" collapsed="false">
      <c r="A56" s="14" t="s">
        <v>151</v>
      </c>
      <c r="B56" s="13" t="s">
        <v>141</v>
      </c>
      <c r="C56" s="19" t="n">
        <f aca="false">COUNTIFS(案件別収益!$S$4:$S$60,A56)</f>
        <v>0</v>
      </c>
      <c r="D56" s="43" t="n">
        <f aca="false">SUMIFS(案件別収益!$J$4:$J$60,案件別収益!$S$4:$S$60,A56)</f>
        <v>0</v>
      </c>
      <c r="E56" s="43" t="n">
        <f aca="false">SUMIFS(案件別収益!$M$4:$M$60,案件別収益!$S$4:$S$60,A56)</f>
        <v>0</v>
      </c>
    </row>
    <row r="57" customFormat="false" ht="15" hidden="false" customHeight="false" outlineLevel="0" collapsed="false">
      <c r="A57" s="17" t="s">
        <v>153</v>
      </c>
      <c r="B57" s="13" t="s">
        <v>152</v>
      </c>
      <c r="C57" s="19" t="n">
        <f aca="false">COUNTIFS(案件別収益!$S$4:$S$60,A57)</f>
        <v>1</v>
      </c>
      <c r="D57" s="43" t="n">
        <f aca="false">SUMIFS(案件別収益!$J$4:$J$60,案件別収益!$S$4:$S$60,A57)</f>
        <v>150000</v>
      </c>
      <c r="E57" s="43" t="n">
        <f aca="false">SUMIFS(案件別収益!$M$4:$M$60,案件別収益!$S$4:$S$60,A57)</f>
        <v>140000</v>
      </c>
    </row>
    <row r="58" customFormat="false" ht="15" hidden="false" customHeight="false" outlineLevel="0" collapsed="false">
      <c r="A58" s="14" t="s">
        <v>154</v>
      </c>
      <c r="B58" s="13" t="s">
        <v>152</v>
      </c>
      <c r="C58" s="19" t="n">
        <f aca="false">COUNTIFS(案件別収益!$S$4:$S$60,A58)</f>
        <v>1</v>
      </c>
      <c r="D58" s="43" t="n">
        <f aca="false">SUMIFS(案件別収益!$J$4:$J$60,案件別収益!$S$4:$S$60,A58)</f>
        <v>100000</v>
      </c>
      <c r="E58" s="43" t="n">
        <f aca="false">SUMIFS(案件別収益!$M$4:$M$60,案件別収益!$S$4:$S$60,A58)</f>
        <v>88000</v>
      </c>
    </row>
    <row r="59" customFormat="false" ht="15" hidden="false" customHeight="false" outlineLevel="0" collapsed="false">
      <c r="A59" s="14" t="s">
        <v>155</v>
      </c>
      <c r="B59" s="13" t="s">
        <v>152</v>
      </c>
      <c r="C59" s="19" t="n">
        <f aca="false">COUNTIFS(案件別収益!$S$4:$S$60,A59)</f>
        <v>0</v>
      </c>
      <c r="D59" s="43" t="n">
        <f aca="false">SUMIFS(案件別収益!$J$4:$J$60,案件別収益!$S$4:$S$60,A59)</f>
        <v>0</v>
      </c>
      <c r="E59" s="43" t="n">
        <f aca="false">SUMIFS(案件別収益!$M$4:$M$60,案件別収益!$S$4:$S$60,A59)</f>
        <v>0</v>
      </c>
    </row>
    <row r="60" customFormat="false" ht="15" hidden="false" customHeight="false" outlineLevel="0" collapsed="false">
      <c r="A60" s="14" t="s">
        <v>157</v>
      </c>
      <c r="B60" s="13" t="s">
        <v>156</v>
      </c>
      <c r="C60" s="19" t="n">
        <f aca="false">COUNTIFS(案件別収益!$S$4:$S$60,A60)</f>
        <v>0</v>
      </c>
      <c r="D60" s="43" t="n">
        <f aca="false">SUMIFS(案件別収益!$J$4:$J$60,案件別収益!$S$4:$S$60,A60)</f>
        <v>0</v>
      </c>
      <c r="E60" s="43" t="n">
        <f aca="false">SUMIFS(案件別収益!$M$4:$M$60,案件別収益!$S$4:$S$60,A60)</f>
        <v>0</v>
      </c>
    </row>
    <row r="61" customFormat="false" ht="15" hidden="false" customHeight="false" outlineLevel="0" collapsed="false">
      <c r="A61" s="14" t="s">
        <v>159</v>
      </c>
      <c r="B61" s="13" t="s">
        <v>158</v>
      </c>
      <c r="C61" s="19" t="n">
        <f aca="false">COUNTIFS(案件別収益!$S$4:$S$60,A61)</f>
        <v>0</v>
      </c>
      <c r="D61" s="43" t="n">
        <f aca="false">SUMIFS(案件別収益!$J$4:$J$60,案件別収益!$S$4:$S$60,A61)</f>
        <v>0</v>
      </c>
      <c r="E61" s="43" t="n">
        <f aca="false">SUMIFS(案件別収益!$M$4:$M$60,案件別収益!$S$4:$S$60,A61)</f>
        <v>0</v>
      </c>
    </row>
    <row r="62" customFormat="false" ht="15" hidden="false" customHeight="false" outlineLevel="0" collapsed="false">
      <c r="A62" s="14" t="s">
        <v>160</v>
      </c>
      <c r="B62" s="13" t="s">
        <v>158</v>
      </c>
      <c r="C62" s="19" t="n">
        <f aca="false">COUNTIFS(案件別収益!$S$4:$S$60,A62)</f>
        <v>0</v>
      </c>
      <c r="D62" s="43" t="n">
        <f aca="false">SUMIFS(案件別収益!$J$4:$J$60,案件別収益!$S$4:$S$60,A62)</f>
        <v>0</v>
      </c>
      <c r="E62" s="43" t="n">
        <f aca="false">SUMIFS(案件別収益!$M$4:$M$60,案件別収益!$S$4:$S$60,A62)</f>
        <v>0</v>
      </c>
    </row>
    <row r="63" customFormat="false" ht="15" hidden="false" customHeight="false" outlineLevel="0" collapsed="false">
      <c r="A63" s="14" t="s">
        <v>161</v>
      </c>
      <c r="B63" s="13" t="s">
        <v>158</v>
      </c>
      <c r="C63" s="19" t="n">
        <f aca="false">COUNTIFS(案件別収益!$S$4:$S$60,A63)</f>
        <v>0</v>
      </c>
      <c r="D63" s="43" t="n">
        <f aca="false">SUMIFS(案件別収益!$J$4:$J$60,案件別収益!$S$4:$S$60,A63)</f>
        <v>0</v>
      </c>
      <c r="E63" s="43" t="n">
        <f aca="false">SUMIFS(案件別収益!$M$4:$M$60,案件別収益!$S$4:$S$60,A63)</f>
        <v>0</v>
      </c>
    </row>
    <row r="64" customFormat="false" ht="15" hidden="false" customHeight="false" outlineLevel="0" collapsed="false">
      <c r="A64" s="14" t="s">
        <v>162</v>
      </c>
      <c r="B64" s="13" t="s">
        <v>158</v>
      </c>
      <c r="C64" s="19" t="n">
        <f aca="false">COUNTIFS(案件別収益!$S$4:$S$60,A64)</f>
        <v>0</v>
      </c>
      <c r="D64" s="43" t="n">
        <f aca="false">SUMIFS(案件別収益!$J$4:$J$60,案件別収益!$S$4:$S$60,A64)</f>
        <v>0</v>
      </c>
      <c r="E64" s="43" t="n">
        <f aca="false">SUMIFS(案件別収益!$M$4:$M$60,案件別収益!$S$4:$S$60,A64)</f>
        <v>0</v>
      </c>
    </row>
    <row r="65" customFormat="false" ht="15" hidden="false" customHeight="false" outlineLevel="0" collapsed="false">
      <c r="A65" s="14" t="s">
        <v>164</v>
      </c>
      <c r="B65" s="13" t="s">
        <v>163</v>
      </c>
      <c r="C65" s="19" t="n">
        <f aca="false">COUNTIFS(案件別収益!$S$4:$S$60,A65)</f>
        <v>0</v>
      </c>
      <c r="D65" s="43" t="n">
        <f aca="false">SUMIFS(案件別収益!$J$4:$J$60,案件別収益!$S$4:$S$60,A65)</f>
        <v>0</v>
      </c>
      <c r="E65" s="43" t="n">
        <f aca="false">SUMIFS(案件別収益!$M$4:$M$60,案件別収益!$S$4:$S$60,A65)</f>
        <v>0</v>
      </c>
    </row>
    <row r="66" customFormat="false" ht="15" hidden="false" customHeight="false" outlineLevel="0" collapsed="false">
      <c r="A66" s="14" t="s">
        <v>165</v>
      </c>
      <c r="B66" s="13" t="s">
        <v>163</v>
      </c>
      <c r="C66" s="19" t="n">
        <f aca="false">COUNTIFS(案件別収益!$S$4:$S$60,A66)</f>
        <v>0</v>
      </c>
      <c r="D66" s="43" t="n">
        <f aca="false">SUMIFS(案件別収益!$J$4:$J$60,案件別収益!$S$4:$S$60,A66)</f>
        <v>0</v>
      </c>
      <c r="E66" s="43" t="n">
        <f aca="false">SUMIFS(案件別収益!$M$4:$M$60,案件別収益!$S$4:$S$60,A66)</f>
        <v>0</v>
      </c>
    </row>
    <row r="67" customFormat="false" ht="15" hidden="false" customHeight="false" outlineLevel="0" collapsed="false">
      <c r="A67" s="14" t="s">
        <v>166</v>
      </c>
      <c r="B67" s="13" t="s">
        <v>163</v>
      </c>
      <c r="C67" s="19" t="n">
        <f aca="false">COUNTIFS(案件別収益!$S$4:$S$60,A67)</f>
        <v>0</v>
      </c>
      <c r="D67" s="43" t="n">
        <f aca="false">SUMIFS(案件別収益!$J$4:$J$60,案件別収益!$S$4:$S$60,A67)</f>
        <v>0</v>
      </c>
      <c r="E67" s="43" t="n">
        <f aca="false">SUMIFS(案件別収益!$M$4:$M$60,案件別収益!$S$4:$S$60,A67)</f>
        <v>0</v>
      </c>
    </row>
  </sheetData>
  <conditionalFormatting sqref="C12:C30">
    <cfRule type="dataBar" priority="2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{BF8F5434-6DD4-4C2A-B46E-EECAF7DB15B7}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8F5434-6DD4-4C2A-B46E-EECAF7DB15B7}">
            <x14:dataBar minLength="10" maxLength="90" axisPosition="none" gradient="true">
              <x14:cfvo type="min"/>
              <x14:cfvo type="max"/>
              <x14:negativeFillColor rgb="FF70AD47"/>
              <x14:axisColor rgb="FF000000"/>
            </x14:dataBar>
          </x14:cfRule>
          <xm:sqref>C12:C30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5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8" min="7" style="1" width="10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21" t="s">
        <v>412</v>
      </c>
    </row>
    <row r="2" customFormat="false" ht="15" hidden="false" customHeight="true" outlineLevel="0" collapsed="false">
      <c r="A2" s="22" t="s">
        <v>413</v>
      </c>
    </row>
    <row r="3" customFormat="false" ht="32.25" hidden="false" customHeight="true" outlineLevel="0" collapsed="false">
      <c r="A3" s="23" t="s">
        <v>324</v>
      </c>
      <c r="B3" s="23" t="s">
        <v>414</v>
      </c>
      <c r="C3" s="23" t="s">
        <v>415</v>
      </c>
      <c r="D3" s="23" t="s">
        <v>402</v>
      </c>
      <c r="E3" s="23" t="s">
        <v>326</v>
      </c>
      <c r="F3" s="23" t="s">
        <v>328</v>
      </c>
      <c r="G3" s="23" t="s">
        <v>329</v>
      </c>
      <c r="H3" s="23" t="s">
        <v>327</v>
      </c>
      <c r="I3" s="23" t="s">
        <v>330</v>
      </c>
    </row>
    <row r="4" customFormat="false" ht="15" hidden="false" customHeight="true" outlineLevel="0" collapsed="false">
      <c r="A4" s="77" t="s">
        <v>416</v>
      </c>
      <c r="B4" s="46" t="n">
        <f aca="false">SUMIFS(案件別収益!$J$4:$J$60,案件別収益!$I$4:$I$60,A4,案件別収益!$F$4:$F$60,"リテイナー")</f>
        <v>0</v>
      </c>
      <c r="C4" s="46" t="n">
        <f aca="false">SUMIFS(案件別収益!$J$4:$J$60,案件別収益!$I$4:$I$60,A4,案件別収益!$F$4:$F$60,"スポット")</f>
        <v>0</v>
      </c>
      <c r="D4" s="46" t="n">
        <f aca="false">B4+C4</f>
        <v>0</v>
      </c>
      <c r="E4" s="46" t="n">
        <f aca="false">SUMIFS(案件別収益!$K$4:$K$60,案件別収益!$I$4:$I$60,A4)</f>
        <v>0</v>
      </c>
      <c r="F4" s="46" t="n">
        <f aca="false">D4-E4</f>
        <v>0</v>
      </c>
      <c r="G4" s="64" t="str">
        <f aca="false">IF(D4=0,"",F4/D4)</f>
        <v/>
      </c>
      <c r="H4" s="27" t="n">
        <f aca="false">SUMIFS(案件別収益!$L$4:$L$60,案件別収益!$I$4:$I$60,A4)</f>
        <v>0</v>
      </c>
      <c r="I4" s="46" t="str">
        <f aca="false">IF(H4=0,"",ROUND(F4/H4,0))</f>
        <v/>
      </c>
    </row>
    <row r="5" customFormat="false" ht="15" hidden="false" customHeight="true" outlineLevel="0" collapsed="false">
      <c r="A5" s="77" t="s">
        <v>417</v>
      </c>
      <c r="B5" s="46" t="n">
        <f aca="false">SUMIFS(案件別収益!$J$4:$J$60,案件別収益!$I$4:$I$60,A5,案件別収益!$F$4:$F$60,"リテイナー")</f>
        <v>0</v>
      </c>
      <c r="C5" s="46" t="n">
        <f aca="false">SUMIFS(案件別収益!$J$4:$J$60,案件別収益!$I$4:$I$60,A5,案件別収益!$F$4:$F$60,"スポット")</f>
        <v>0</v>
      </c>
      <c r="D5" s="46" t="n">
        <f aca="false">B5+C5</f>
        <v>0</v>
      </c>
      <c r="E5" s="46" t="n">
        <f aca="false">SUMIFS(案件別収益!$K$4:$K$60,案件別収益!$I$4:$I$60,A5)</f>
        <v>0</v>
      </c>
      <c r="F5" s="46" t="n">
        <f aca="false">D5-E5</f>
        <v>0</v>
      </c>
      <c r="G5" s="64" t="str">
        <f aca="false">IF(D5=0,"",F5/D5)</f>
        <v/>
      </c>
      <c r="H5" s="27" t="n">
        <f aca="false">SUMIFS(案件別収益!$L$4:$L$60,案件別収益!$I$4:$I$60,A5)</f>
        <v>0</v>
      </c>
      <c r="I5" s="46" t="str">
        <f aca="false">IF(H5=0,"",ROUND(F5/H5,0))</f>
        <v/>
      </c>
    </row>
    <row r="6" customFormat="false" ht="15" hidden="false" customHeight="true" outlineLevel="0" collapsed="false">
      <c r="A6" s="77" t="s">
        <v>418</v>
      </c>
      <c r="B6" s="46" t="n">
        <f aca="false">SUMIFS(案件別収益!$J$4:$J$60,案件別収益!$I$4:$I$60,A6,案件別収益!$F$4:$F$60,"リテイナー")</f>
        <v>0</v>
      </c>
      <c r="C6" s="46" t="n">
        <f aca="false">SUMIFS(案件別収益!$J$4:$J$60,案件別収益!$I$4:$I$60,A6,案件別収益!$F$4:$F$60,"スポット")</f>
        <v>0</v>
      </c>
      <c r="D6" s="46" t="n">
        <f aca="false">B6+C6</f>
        <v>0</v>
      </c>
      <c r="E6" s="46" t="n">
        <f aca="false">SUMIFS(案件別収益!$K$4:$K$60,案件別収益!$I$4:$I$60,A6)</f>
        <v>0</v>
      </c>
      <c r="F6" s="46" t="n">
        <f aca="false">D6-E6</f>
        <v>0</v>
      </c>
      <c r="G6" s="64" t="str">
        <f aca="false">IF(D6=0,"",F6/D6)</f>
        <v/>
      </c>
      <c r="H6" s="27" t="n">
        <f aca="false">SUMIFS(案件別収益!$L$4:$L$60,案件別収益!$I$4:$I$60,A6)</f>
        <v>0</v>
      </c>
      <c r="I6" s="46" t="str">
        <f aca="false">IF(H6=0,"",ROUND(F6/H6,0))</f>
        <v/>
      </c>
    </row>
    <row r="7" customFormat="false" ht="15" hidden="false" customHeight="true" outlineLevel="0" collapsed="false">
      <c r="A7" s="77" t="s">
        <v>419</v>
      </c>
      <c r="B7" s="46" t="n">
        <f aca="false">SUMIFS(案件別収益!$J$4:$J$60,案件別収益!$I$4:$I$60,A7,案件別収益!$F$4:$F$60,"リテイナー")</f>
        <v>0</v>
      </c>
      <c r="C7" s="46" t="n">
        <f aca="false">SUMIFS(案件別収益!$J$4:$J$60,案件別収益!$I$4:$I$60,A7,案件別収益!$F$4:$F$60,"スポット")</f>
        <v>0</v>
      </c>
      <c r="D7" s="46" t="n">
        <f aca="false">B7+C7</f>
        <v>0</v>
      </c>
      <c r="E7" s="46" t="n">
        <f aca="false">SUMIFS(案件別収益!$K$4:$K$60,案件別収益!$I$4:$I$60,A7)</f>
        <v>0</v>
      </c>
      <c r="F7" s="46" t="n">
        <f aca="false">D7-E7</f>
        <v>0</v>
      </c>
      <c r="G7" s="64" t="str">
        <f aca="false">IF(D7=0,"",F7/D7)</f>
        <v/>
      </c>
      <c r="H7" s="27" t="n">
        <f aca="false">SUMIFS(案件別収益!$L$4:$L$60,案件別収益!$I$4:$I$60,A7)</f>
        <v>0</v>
      </c>
      <c r="I7" s="46" t="str">
        <f aca="false">IF(H7=0,"",ROUND(F7/H7,0))</f>
        <v/>
      </c>
    </row>
    <row r="8" customFormat="false" ht="15" hidden="false" customHeight="true" outlineLevel="0" collapsed="false">
      <c r="A8" s="77" t="s">
        <v>420</v>
      </c>
      <c r="B8" s="46" t="n">
        <f aca="false">SUMIFS(案件別収益!$J$4:$J$60,案件別収益!$I$4:$I$60,A8,案件別収益!$F$4:$F$60,"リテイナー")</f>
        <v>260000</v>
      </c>
      <c r="C8" s="46" t="n">
        <f aca="false">SUMIFS(案件別収益!$J$4:$J$60,案件別収益!$I$4:$I$60,A8,案件別収益!$F$4:$F$60,"スポット")</f>
        <v>0</v>
      </c>
      <c r="D8" s="46" t="n">
        <f aca="false">B8+C8</f>
        <v>260000</v>
      </c>
      <c r="E8" s="46" t="n">
        <f aca="false">SUMIFS(案件別収益!$K$4:$K$60,案件別収益!$I$4:$I$60,A8)</f>
        <v>0</v>
      </c>
      <c r="F8" s="46" t="n">
        <f aca="false">D8-E8</f>
        <v>260000</v>
      </c>
      <c r="G8" s="64" t="n">
        <f aca="false">IF(D8=0,"",F8/D8)</f>
        <v>1</v>
      </c>
      <c r="H8" s="27" t="n">
        <f aca="false">SUMIFS(案件別収益!$L$4:$L$60,案件別収益!$I$4:$I$60,A8)</f>
        <v>74</v>
      </c>
      <c r="I8" s="46" t="n">
        <f aca="false">IF(H8=0,"",ROUND(F8/H8,0))</f>
        <v>3514</v>
      </c>
    </row>
    <row r="9" customFormat="false" ht="15" hidden="false" customHeight="true" outlineLevel="0" collapsed="false">
      <c r="A9" s="77" t="s">
        <v>421</v>
      </c>
      <c r="B9" s="46" t="n">
        <f aca="false">SUMIFS(案件別収益!$J$4:$J$60,案件別収益!$I$4:$I$60,A9,案件別収益!$F$4:$F$60,"リテイナー")</f>
        <v>320000</v>
      </c>
      <c r="C9" s="46" t="n">
        <f aca="false">SUMIFS(案件別収益!$J$4:$J$60,案件別収益!$I$4:$I$60,A9,案件別収益!$F$4:$F$60,"スポット")</f>
        <v>250000</v>
      </c>
      <c r="D9" s="46" t="n">
        <f aca="false">B9+C9</f>
        <v>570000</v>
      </c>
      <c r="E9" s="46" t="n">
        <f aca="false">SUMIFS(案件別収益!$K$4:$K$60,案件別収益!$I$4:$I$60,A9)</f>
        <v>22000</v>
      </c>
      <c r="F9" s="46" t="n">
        <f aca="false">D9-E9</f>
        <v>548000</v>
      </c>
      <c r="G9" s="64" t="n">
        <f aca="false">IF(D9=0,"",F9/D9)</f>
        <v>0.96140350877193</v>
      </c>
      <c r="H9" s="27" t="n">
        <f aca="false">SUMIFS(案件別収益!$L$4:$L$60,案件別収益!$I$4:$I$60,A9)</f>
        <v>133</v>
      </c>
      <c r="I9" s="46" t="n">
        <f aca="false">IF(H9=0,"",ROUND(F9/H9,0))</f>
        <v>4120</v>
      </c>
    </row>
    <row r="10" customFormat="false" ht="15" hidden="false" customHeight="true" outlineLevel="0" collapsed="false">
      <c r="A10" s="77" t="s">
        <v>422</v>
      </c>
      <c r="B10" s="46" t="n">
        <f aca="false">SUMIFS(案件別収益!$J$4:$J$60,案件別収益!$I$4:$I$60,A10,案件別収益!$F$4:$F$60,"リテイナー")</f>
        <v>0</v>
      </c>
      <c r="C10" s="46" t="n">
        <f aca="false">SUMIFS(案件別収益!$J$4:$J$60,案件別収益!$I$4:$I$60,A10,案件別収益!$F$4:$F$60,"スポット")</f>
        <v>0</v>
      </c>
      <c r="D10" s="46" t="n">
        <f aca="false">B10+C10</f>
        <v>0</v>
      </c>
      <c r="E10" s="46" t="n">
        <f aca="false">SUMIFS(案件別収益!$K$4:$K$60,案件別収益!$I$4:$I$60,A10)</f>
        <v>0</v>
      </c>
      <c r="F10" s="46" t="n">
        <f aca="false">D10-E10</f>
        <v>0</v>
      </c>
      <c r="G10" s="64" t="str">
        <f aca="false">IF(D10=0,"",F10/D10)</f>
        <v/>
      </c>
      <c r="H10" s="27" t="n">
        <f aca="false">SUMIFS(案件別収益!$L$4:$L$60,案件別収益!$I$4:$I$60,A10)</f>
        <v>0</v>
      </c>
      <c r="I10" s="46" t="str">
        <f aca="false">IF(H10=0,"",ROUND(F10/H10,0))</f>
        <v/>
      </c>
    </row>
    <row r="11" customFormat="false" ht="15" hidden="false" customHeight="true" outlineLevel="0" collapsed="false">
      <c r="A11" s="77" t="s">
        <v>423</v>
      </c>
      <c r="B11" s="46" t="n">
        <f aca="false">SUMIFS(案件別収益!$J$4:$J$60,案件別収益!$I$4:$I$60,A11,案件別収益!$F$4:$F$60,"リテイナー")</f>
        <v>0</v>
      </c>
      <c r="C11" s="46" t="n">
        <f aca="false">SUMIFS(案件別収益!$J$4:$J$60,案件別収益!$I$4:$I$60,A11,案件別収益!$F$4:$F$60,"スポット")</f>
        <v>0</v>
      </c>
      <c r="D11" s="46" t="n">
        <f aca="false">B11+C11</f>
        <v>0</v>
      </c>
      <c r="E11" s="46" t="n">
        <f aca="false">SUMIFS(案件別収益!$K$4:$K$60,案件別収益!$I$4:$I$60,A11)</f>
        <v>0</v>
      </c>
      <c r="F11" s="46" t="n">
        <f aca="false">D11-E11</f>
        <v>0</v>
      </c>
      <c r="G11" s="64" t="str">
        <f aca="false">IF(D11=0,"",F11/D11)</f>
        <v/>
      </c>
      <c r="H11" s="27" t="n">
        <f aca="false">SUMIFS(案件別収益!$L$4:$L$60,案件別収益!$I$4:$I$60,A11)</f>
        <v>0</v>
      </c>
      <c r="I11" s="46" t="str">
        <f aca="false">IF(H11=0,"",ROUND(F11/H11,0))</f>
        <v/>
      </c>
    </row>
    <row r="12" customFormat="false" ht="15" hidden="false" customHeight="true" outlineLevel="0" collapsed="false">
      <c r="A12" s="77" t="s">
        <v>424</v>
      </c>
      <c r="B12" s="46" t="n">
        <f aca="false">SUMIFS(案件別収益!$J$4:$J$60,案件別収益!$I$4:$I$60,A12,案件別収益!$F$4:$F$60,"リテイナー")</f>
        <v>0</v>
      </c>
      <c r="C12" s="46" t="n">
        <f aca="false">SUMIFS(案件別収益!$J$4:$J$60,案件別収益!$I$4:$I$60,A12,案件別収益!$F$4:$F$60,"スポット")</f>
        <v>0</v>
      </c>
      <c r="D12" s="46" t="n">
        <f aca="false">B12+C12</f>
        <v>0</v>
      </c>
      <c r="E12" s="46" t="n">
        <f aca="false">SUMIFS(案件別収益!$K$4:$K$60,案件別収益!$I$4:$I$60,A12)</f>
        <v>0</v>
      </c>
      <c r="F12" s="46" t="n">
        <f aca="false">D12-E12</f>
        <v>0</v>
      </c>
      <c r="G12" s="64" t="str">
        <f aca="false">IF(D12=0,"",F12/D12)</f>
        <v/>
      </c>
      <c r="H12" s="27" t="n">
        <f aca="false">SUMIFS(案件別収益!$L$4:$L$60,案件別収益!$I$4:$I$60,A12)</f>
        <v>0</v>
      </c>
      <c r="I12" s="46" t="str">
        <f aca="false">IF(H12=0,"",ROUND(F12/H12,0))</f>
        <v/>
      </c>
    </row>
    <row r="13" customFormat="false" ht="15" hidden="false" customHeight="true" outlineLevel="0" collapsed="false">
      <c r="A13" s="77" t="s">
        <v>425</v>
      </c>
      <c r="B13" s="46" t="n">
        <f aca="false">SUMIFS(案件別収益!$J$4:$J$60,案件別収益!$I$4:$I$60,A13,案件別収益!$F$4:$F$60,"リテイナー")</f>
        <v>0</v>
      </c>
      <c r="C13" s="46" t="n">
        <f aca="false">SUMIFS(案件別収益!$J$4:$J$60,案件別収益!$I$4:$I$60,A13,案件別収益!$F$4:$F$60,"スポット")</f>
        <v>0</v>
      </c>
      <c r="D13" s="46" t="n">
        <f aca="false">B13+C13</f>
        <v>0</v>
      </c>
      <c r="E13" s="46" t="n">
        <f aca="false">SUMIFS(案件別収益!$K$4:$K$60,案件別収益!$I$4:$I$60,A13)</f>
        <v>0</v>
      </c>
      <c r="F13" s="46" t="n">
        <f aca="false">D13-E13</f>
        <v>0</v>
      </c>
      <c r="G13" s="64" t="str">
        <f aca="false">IF(D13=0,"",F13/D13)</f>
        <v/>
      </c>
      <c r="H13" s="27" t="n">
        <f aca="false">SUMIFS(案件別収益!$L$4:$L$60,案件別収益!$I$4:$I$60,A13)</f>
        <v>0</v>
      </c>
      <c r="I13" s="46" t="str">
        <f aca="false">IF(H13=0,"",ROUND(F13/H13,0))</f>
        <v/>
      </c>
    </row>
    <row r="14" customFormat="false" ht="15" hidden="false" customHeight="true" outlineLevel="0" collapsed="false">
      <c r="A14" s="77" t="s">
        <v>426</v>
      </c>
      <c r="B14" s="46" t="n">
        <f aca="false">SUMIFS(案件別収益!$J$4:$J$60,案件別収益!$I$4:$I$60,A14,案件別収益!$F$4:$F$60,"リテイナー")</f>
        <v>0</v>
      </c>
      <c r="C14" s="46" t="n">
        <f aca="false">SUMIFS(案件別収益!$J$4:$J$60,案件別収益!$I$4:$I$60,A14,案件別収益!$F$4:$F$60,"スポット")</f>
        <v>0</v>
      </c>
      <c r="D14" s="46" t="n">
        <f aca="false">B14+C14</f>
        <v>0</v>
      </c>
      <c r="E14" s="46" t="n">
        <f aca="false">SUMIFS(案件別収益!$K$4:$K$60,案件別収益!$I$4:$I$60,A14)</f>
        <v>0</v>
      </c>
      <c r="F14" s="46" t="n">
        <f aca="false">D14-E14</f>
        <v>0</v>
      </c>
      <c r="G14" s="64" t="str">
        <f aca="false">IF(D14=0,"",F14/D14)</f>
        <v/>
      </c>
      <c r="H14" s="27" t="n">
        <f aca="false">SUMIFS(案件別収益!$L$4:$L$60,案件別収益!$I$4:$I$60,A14)</f>
        <v>0</v>
      </c>
      <c r="I14" s="46" t="str">
        <f aca="false">IF(H14=0,"",ROUND(F14/H14,0))</f>
        <v/>
      </c>
    </row>
    <row r="15" customFormat="false" ht="15" hidden="false" customHeight="true" outlineLevel="0" collapsed="false">
      <c r="A15" s="77" t="s">
        <v>427</v>
      </c>
      <c r="B15" s="46" t="n">
        <f aca="false">SUMIFS(案件別収益!$J$4:$J$60,案件別収益!$I$4:$I$60,A15,案件別収益!$F$4:$F$60,"リテイナー")</f>
        <v>0</v>
      </c>
      <c r="C15" s="46" t="n">
        <f aca="false">SUMIFS(案件別収益!$J$4:$J$60,案件別収益!$I$4:$I$60,A15,案件別収益!$F$4:$F$60,"スポット")</f>
        <v>0</v>
      </c>
      <c r="D15" s="46" t="n">
        <f aca="false">B15+C15</f>
        <v>0</v>
      </c>
      <c r="E15" s="46" t="n">
        <f aca="false">SUMIFS(案件別収益!$K$4:$K$60,案件別収益!$I$4:$I$60,A15)</f>
        <v>0</v>
      </c>
      <c r="F15" s="46" t="n">
        <f aca="false">D15-E15</f>
        <v>0</v>
      </c>
      <c r="G15" s="64" t="str">
        <f aca="false">IF(D15=0,"",F15/D15)</f>
        <v/>
      </c>
      <c r="H15" s="27" t="n">
        <f aca="false">SUMIFS(案件別収益!$L$4:$L$60,案件別収益!$I$4:$I$60,A15)</f>
        <v>0</v>
      </c>
      <c r="I15" s="46" t="str">
        <f aca="false">IF(H15=0,"",ROUND(F15/H15,0))</f>
        <v/>
      </c>
    </row>
    <row r="16" customFormat="false" ht="15" hidden="false" customHeight="true" outlineLevel="0" collapsed="false">
      <c r="A16" s="83" t="s">
        <v>428</v>
      </c>
      <c r="B16" s="51" t="n">
        <f aca="false">SUM(B4:B15)</f>
        <v>580000</v>
      </c>
      <c r="C16" s="51" t="n">
        <f aca="false">SUM(C4:C15)</f>
        <v>250000</v>
      </c>
      <c r="D16" s="51" t="n">
        <f aca="false">SUM(D4:D15)</f>
        <v>830000</v>
      </c>
      <c r="E16" s="51" t="n">
        <f aca="false">SUM(E4:E15)</f>
        <v>22000</v>
      </c>
      <c r="F16" s="51" t="n">
        <f aca="false">SUM(F4:F15)</f>
        <v>808000</v>
      </c>
      <c r="G16" s="84" t="n">
        <f aca="false">IF(D16=0,"",F16/D16)</f>
        <v>0.973493975903614</v>
      </c>
      <c r="H16" s="85" t="n">
        <f aca="false">SUM(H4:H15)</f>
        <v>207</v>
      </c>
      <c r="I16" s="51" t="n">
        <f aca="false">IF(H16=0,"",ROUND(F16/H16,0))</f>
        <v>3903</v>
      </c>
    </row>
  </sheetData>
  <conditionalFormatting sqref="G4:G15">
    <cfRule type="colorScale" priority="2">
      <colorScale>
        <cfvo type="num" val="0"/>
        <cfvo type="num" val="0.7"/>
        <cfvo type="num" val="0.9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8" min="7" style="1" width="14"/>
  </cols>
  <sheetData>
    <row r="1" customFormat="false" ht="17.25" hidden="false" customHeight="true" outlineLevel="0" collapsed="false">
      <c r="A1" s="21" t="s">
        <v>429</v>
      </c>
    </row>
    <row r="2" customFormat="false" ht="15" hidden="false" customHeight="true" outlineLevel="0" collapsed="false">
      <c r="A2" s="22" t="s">
        <v>430</v>
      </c>
    </row>
    <row r="3" customFormat="false" ht="16.5" hidden="false" customHeight="true" outlineLevel="0" collapsed="false">
      <c r="A3" s="23" t="s">
        <v>324</v>
      </c>
      <c r="B3" s="23" t="s">
        <v>431</v>
      </c>
      <c r="C3" s="23" t="s">
        <v>432</v>
      </c>
      <c r="D3" s="23" t="s">
        <v>433</v>
      </c>
      <c r="E3" s="23" t="s">
        <v>434</v>
      </c>
      <c r="F3" s="23" t="s">
        <v>435</v>
      </c>
      <c r="G3" s="23" t="s">
        <v>436</v>
      </c>
      <c r="H3" s="23" t="s">
        <v>437</v>
      </c>
    </row>
    <row r="4" customFormat="false" ht="15" hidden="false" customHeight="true" outlineLevel="0" collapsed="false">
      <c r="A4" s="77" t="s">
        <v>416</v>
      </c>
      <c r="B4" s="49" t="n">
        <f aca="false">顧客マスタ!$F$17</f>
        <v>320000</v>
      </c>
      <c r="C4" s="48" t="n">
        <v>0</v>
      </c>
      <c r="D4" s="48" t="n">
        <v>0</v>
      </c>
      <c r="E4" s="46" t="n">
        <f aca="false">B4+C4+D4</f>
        <v>320000</v>
      </c>
      <c r="F4" s="31" t="n">
        <v>0.1</v>
      </c>
      <c r="G4" s="46" t="n">
        <f aca="false">ROUND(E4*F4,0)</f>
        <v>32000</v>
      </c>
      <c r="H4" s="46" t="n">
        <f aca="false">E4-G4</f>
        <v>288000</v>
      </c>
    </row>
    <row r="5" customFormat="false" ht="15" hidden="false" customHeight="true" outlineLevel="0" collapsed="false">
      <c r="A5" s="77" t="s">
        <v>417</v>
      </c>
      <c r="B5" s="49" t="n">
        <f aca="false">顧客マスタ!$F$17</f>
        <v>320000</v>
      </c>
      <c r="C5" s="48" t="n">
        <v>0</v>
      </c>
      <c r="D5" s="48" t="n">
        <v>0</v>
      </c>
      <c r="E5" s="46" t="n">
        <f aca="false">B5+C5+D5</f>
        <v>320000</v>
      </c>
      <c r="F5" s="31" t="n">
        <v>0.1</v>
      </c>
      <c r="G5" s="46" t="n">
        <f aca="false">ROUND(E5*F5,0)</f>
        <v>32000</v>
      </c>
      <c r="H5" s="46" t="n">
        <f aca="false">E5-G5</f>
        <v>288000</v>
      </c>
    </row>
    <row r="6" customFormat="false" ht="15" hidden="false" customHeight="true" outlineLevel="0" collapsed="false">
      <c r="A6" s="77" t="s">
        <v>418</v>
      </c>
      <c r="B6" s="49" t="n">
        <f aca="false">顧客マスタ!$F$17</f>
        <v>320000</v>
      </c>
      <c r="C6" s="48" t="n">
        <v>0</v>
      </c>
      <c r="D6" s="48" t="n">
        <v>0</v>
      </c>
      <c r="E6" s="46" t="n">
        <f aca="false">B6+C6+D6</f>
        <v>320000</v>
      </c>
      <c r="F6" s="31" t="n">
        <v>0.1</v>
      </c>
      <c r="G6" s="46" t="n">
        <f aca="false">ROUND(E6*F6,0)</f>
        <v>32000</v>
      </c>
      <c r="H6" s="46" t="n">
        <f aca="false">E6-G6</f>
        <v>288000</v>
      </c>
    </row>
    <row r="7" customFormat="false" ht="15" hidden="false" customHeight="true" outlineLevel="0" collapsed="false">
      <c r="A7" s="77" t="s">
        <v>419</v>
      </c>
      <c r="B7" s="49" t="n">
        <f aca="false">顧客マスタ!$F$17</f>
        <v>320000</v>
      </c>
      <c r="C7" s="48" t="n">
        <v>0</v>
      </c>
      <c r="D7" s="48" t="n">
        <v>0</v>
      </c>
      <c r="E7" s="46" t="n">
        <f aca="false">B7+C7+D7</f>
        <v>320000</v>
      </c>
      <c r="F7" s="31" t="n">
        <v>0.1</v>
      </c>
      <c r="G7" s="46" t="n">
        <f aca="false">ROUND(E7*F7,0)</f>
        <v>32000</v>
      </c>
      <c r="H7" s="46" t="n">
        <f aca="false">E7-G7</f>
        <v>288000</v>
      </c>
    </row>
    <row r="8" customFormat="false" ht="15" hidden="false" customHeight="true" outlineLevel="0" collapsed="false">
      <c r="A8" s="77" t="s">
        <v>420</v>
      </c>
      <c r="B8" s="49" t="n">
        <f aca="false">顧客マスタ!$F$17</f>
        <v>320000</v>
      </c>
      <c r="C8" s="48" t="n">
        <v>0</v>
      </c>
      <c r="D8" s="48" t="n">
        <v>200000</v>
      </c>
      <c r="E8" s="46" t="n">
        <f aca="false">B8+C8+D8</f>
        <v>520000</v>
      </c>
      <c r="F8" s="31" t="n">
        <v>0.1</v>
      </c>
      <c r="G8" s="46" t="n">
        <f aca="false">ROUND(E8*F8,0)</f>
        <v>52000</v>
      </c>
      <c r="H8" s="46" t="n">
        <f aca="false">E8-G8</f>
        <v>468000</v>
      </c>
    </row>
    <row r="9" customFormat="false" ht="15" hidden="false" customHeight="true" outlineLevel="0" collapsed="false">
      <c r="A9" s="77" t="s">
        <v>421</v>
      </c>
      <c r="B9" s="49" t="n">
        <f aca="false">顧客マスタ!$F$17</f>
        <v>320000</v>
      </c>
      <c r="C9" s="48" t="n">
        <v>250000</v>
      </c>
      <c r="D9" s="48" t="n">
        <v>0</v>
      </c>
      <c r="E9" s="46" t="n">
        <f aca="false">B9+C9+D9</f>
        <v>570000</v>
      </c>
      <c r="F9" s="31" t="n">
        <v>0.1</v>
      </c>
      <c r="G9" s="46" t="n">
        <f aca="false">ROUND(E9*F9,0)</f>
        <v>57000</v>
      </c>
      <c r="H9" s="46" t="n">
        <f aca="false">E9-G9</f>
        <v>513000</v>
      </c>
    </row>
    <row r="10" customFormat="false" ht="15" hidden="false" customHeight="true" outlineLevel="0" collapsed="false">
      <c r="A10" s="77" t="s">
        <v>422</v>
      </c>
      <c r="B10" s="49" t="n">
        <f aca="false">顧客マスタ!$F$17</f>
        <v>320000</v>
      </c>
      <c r="C10" s="48" t="n">
        <v>100000</v>
      </c>
      <c r="D10" s="48" t="n">
        <v>0</v>
      </c>
      <c r="E10" s="46" t="n">
        <f aca="false">B10+C10+D10</f>
        <v>420000</v>
      </c>
      <c r="F10" s="31" t="n">
        <v>0.1</v>
      </c>
      <c r="G10" s="46" t="n">
        <f aca="false">ROUND(E10*F10,0)</f>
        <v>42000</v>
      </c>
      <c r="H10" s="46" t="n">
        <f aca="false">E10-G10</f>
        <v>378000</v>
      </c>
    </row>
    <row r="11" customFormat="false" ht="15" hidden="false" customHeight="true" outlineLevel="0" collapsed="false">
      <c r="A11" s="77" t="s">
        <v>423</v>
      </c>
      <c r="B11" s="49" t="n">
        <f aca="false">顧客マスタ!$F$17</f>
        <v>320000</v>
      </c>
      <c r="C11" s="48" t="n">
        <v>0</v>
      </c>
      <c r="D11" s="48" t="n">
        <v>150000</v>
      </c>
      <c r="E11" s="46" t="n">
        <f aca="false">B11+C11+D11</f>
        <v>470000</v>
      </c>
      <c r="F11" s="31" t="n">
        <v>0.1</v>
      </c>
      <c r="G11" s="46" t="n">
        <f aca="false">ROUND(E11*F11,0)</f>
        <v>47000</v>
      </c>
      <c r="H11" s="46" t="n">
        <f aca="false">E11-G11</f>
        <v>423000</v>
      </c>
    </row>
    <row r="12" customFormat="false" ht="15" hidden="false" customHeight="true" outlineLevel="0" collapsed="false">
      <c r="A12" s="77" t="s">
        <v>424</v>
      </c>
      <c r="B12" s="49" t="n">
        <f aca="false">顧客マスタ!$F$17</f>
        <v>320000</v>
      </c>
      <c r="C12" s="48" t="n">
        <v>100000</v>
      </c>
      <c r="D12" s="48" t="n">
        <v>0</v>
      </c>
      <c r="E12" s="46" t="n">
        <f aca="false">B12+C12+D12</f>
        <v>420000</v>
      </c>
      <c r="F12" s="31" t="n">
        <v>0.1</v>
      </c>
      <c r="G12" s="46" t="n">
        <f aca="false">ROUND(E12*F12,0)</f>
        <v>42000</v>
      </c>
      <c r="H12" s="46" t="n">
        <f aca="false">E12-G12</f>
        <v>378000</v>
      </c>
    </row>
    <row r="13" customFormat="false" ht="15" hidden="false" customHeight="true" outlineLevel="0" collapsed="false">
      <c r="A13" s="77" t="s">
        <v>425</v>
      </c>
      <c r="B13" s="49" t="n">
        <f aca="false">顧客マスタ!$F$17</f>
        <v>320000</v>
      </c>
      <c r="C13" s="48" t="n">
        <v>150000</v>
      </c>
      <c r="D13" s="48" t="n">
        <v>0</v>
      </c>
      <c r="E13" s="46" t="n">
        <f aca="false">B13+C13+D13</f>
        <v>470000</v>
      </c>
      <c r="F13" s="31" t="n">
        <v>0.1</v>
      </c>
      <c r="G13" s="46" t="n">
        <f aca="false">ROUND(E13*F13,0)</f>
        <v>47000</v>
      </c>
      <c r="H13" s="46" t="n">
        <f aca="false">E13-G13</f>
        <v>423000</v>
      </c>
    </row>
    <row r="14" customFormat="false" ht="15" hidden="false" customHeight="true" outlineLevel="0" collapsed="false">
      <c r="A14" s="77" t="s">
        <v>426</v>
      </c>
      <c r="B14" s="49" t="n">
        <f aca="false">顧客マスタ!$F$17</f>
        <v>320000</v>
      </c>
      <c r="C14" s="48" t="n">
        <v>0</v>
      </c>
      <c r="D14" s="48" t="n">
        <v>120000</v>
      </c>
      <c r="E14" s="46" t="n">
        <f aca="false">B14+C14+D14</f>
        <v>440000</v>
      </c>
      <c r="F14" s="31" t="n">
        <v>0.1</v>
      </c>
      <c r="G14" s="46" t="n">
        <f aca="false">ROUND(E14*F14,0)</f>
        <v>44000</v>
      </c>
      <c r="H14" s="46" t="n">
        <f aca="false">E14-G14</f>
        <v>396000</v>
      </c>
    </row>
    <row r="15" customFormat="false" ht="15" hidden="false" customHeight="true" outlineLevel="0" collapsed="false">
      <c r="A15" s="77" t="s">
        <v>427</v>
      </c>
      <c r="B15" s="49" t="n">
        <f aca="false">顧客マスタ!$F$17</f>
        <v>320000</v>
      </c>
      <c r="C15" s="48" t="n">
        <v>0</v>
      </c>
      <c r="D15" s="48" t="n">
        <v>200000</v>
      </c>
      <c r="E15" s="46" t="n">
        <f aca="false">B15+C15+D15</f>
        <v>520000</v>
      </c>
      <c r="F15" s="31" t="n">
        <v>0.1</v>
      </c>
      <c r="G15" s="46" t="n">
        <f aca="false">ROUND(E15*F15,0)</f>
        <v>52000</v>
      </c>
      <c r="H15" s="46" t="n">
        <f aca="false">E15-G15</f>
        <v>468000</v>
      </c>
    </row>
    <row r="16" customFormat="false" ht="15" hidden="false" customHeight="true" outlineLevel="0" collapsed="false">
      <c r="A16" s="83" t="s">
        <v>438</v>
      </c>
      <c r="B16" s="51" t="n">
        <f aca="false">SUM(B4:B15)</f>
        <v>3840000</v>
      </c>
      <c r="C16" s="51" t="n">
        <f aca="false">SUM(C4:C15)</f>
        <v>600000</v>
      </c>
      <c r="D16" s="51" t="n">
        <f aca="false">SUM(D4:D15)</f>
        <v>670000</v>
      </c>
      <c r="E16" s="51" t="n">
        <f aca="false">SUM(E4:E15)</f>
        <v>5110000</v>
      </c>
      <c r="F16" s="86"/>
      <c r="G16" s="51" t="n">
        <f aca="false">SUM(G4:G15)</f>
        <v>511000</v>
      </c>
      <c r="H16" s="51" t="n">
        <f aca="false">SUM(H4:H15)</f>
        <v>4599000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2026-06-21T11:17:43Z</dcterms:created>
  <dc:creator>openpyxl</dc:creator>
  <dc:description/>
  <dc:language>en-US</dc:language>
  <cp:lastModifiedBy/>
  <dcterms:modified xsi:type="dcterms:W3CDTF">2026-06-21T14:46:52Z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